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Module Findings" sheetId="2" state="visible" r:id="rId2"/>
    <sheet xmlns:r="http://schemas.openxmlformats.org/officeDocument/2006/relationships" name="Missing Endpoints" sheetId="3" state="visible" r:id="rId3"/>
    <sheet xmlns:r="http://schemas.openxmlformats.org/officeDocument/2006/relationships" name="Priority Actions" sheetId="4" state="visible" r:id="rId4"/>
    <sheet xmlns:r="http://schemas.openxmlformats.org/officeDocument/2006/relationships" name="Backend Questions" sheetId="5" state="visible" r:id="rId5"/>
    <sheet xmlns:r="http://schemas.openxmlformats.org/officeDocument/2006/relationships" name="Go-Live Criteria" sheetId="6" state="visible" r:id="rId6"/>
    <sheet xmlns:r="http://schemas.openxmlformats.org/officeDocument/2006/relationships" name="Evidence Sources" sheetId="7" state="visible" r:id="rId7"/>
  </sheets>
  <definedNames>
    <definedName name="_xlnm._FilterDatabase" localSheetId="1" hidden="1">'Module Findings'!$A$4:$N$19</definedName>
    <definedName name="_xlnm.Print_Titles" localSheetId="1">'Module Findings'!$1:$4</definedName>
    <definedName name="_xlnm.Print_Titles" localSheetId="2">'Missing Endpoints'!$1:$4</definedName>
    <definedName name="_xlnm.Print_Titles" localSheetId="3">'Priority Actions'!$1:$4</definedName>
    <definedName name="_xlnm.Print_Titles" localSheetId="4">'Backend Questions'!$1:$4</definedName>
    <definedName name="_xlnm.Print_Titles" localSheetId="5">'Go-Live Criteria'!$1:$4</definedName>
    <definedName name="_xlnm.Print_Titles" localSheetId="6">'Evidence Sources'!$1:$4</definedName>
  </definedNames>
  <calcPr calcId="124519" calcMode="auto" fullCalcOnLoad="1" forceFullCalc="1"/>
</workbook>
</file>

<file path=xl/styles.xml><?xml version="1.0" encoding="utf-8"?>
<styleSheet xmlns="http://schemas.openxmlformats.org/spreadsheetml/2006/main">
  <numFmts count="0"/>
  <fonts count="9">
    <font>
      <name val="Calibri"/>
      <family val="2"/>
      <color theme="1"/>
      <sz val="11"/>
      <scheme val="minor"/>
    </font>
    <font>
      <name val="Aptos Display"/>
      <b val="1"/>
      <color rgb="00FFFFFF"/>
      <sz val="18"/>
    </font>
    <font>
      <name val="Aptos"/>
      <i val="1"/>
      <color rgb="001D2939"/>
      <sz val="10"/>
    </font>
    <font>
      <name val="Aptos"/>
      <b val="1"/>
      <color rgb="00FFFFFF"/>
      <sz val="12"/>
    </font>
    <font>
      <name val="Aptos"/>
      <color rgb="001D2939"/>
      <sz val="11"/>
    </font>
    <font>
      <name val="Aptos"/>
      <b val="1"/>
      <color rgb="0017365D"/>
      <sz val="12"/>
    </font>
    <font>
      <name val="Aptos"/>
      <b val="1"/>
      <color rgb="00FFFFFF"/>
      <sz val="10"/>
    </font>
    <font>
      <name val="Aptos"/>
      <b val="1"/>
      <color rgb="00FFFFFF"/>
      <sz val="11"/>
    </font>
    <font>
      <name val="Aptos"/>
      <color rgb="001D2939"/>
      <sz val="9"/>
    </font>
  </fonts>
  <fills count="8">
    <fill>
      <patternFill/>
    </fill>
    <fill>
      <patternFill patternType="gray125"/>
    </fill>
    <fill>
      <patternFill patternType="solid">
        <fgColor rgb="0017365D"/>
      </patternFill>
    </fill>
    <fill>
      <patternFill patternType="solid">
        <fgColor rgb="00EAF3F8"/>
      </patternFill>
    </fill>
    <fill>
      <patternFill patternType="solid">
        <fgColor rgb="000F6B78"/>
      </patternFill>
    </fill>
    <fill>
      <patternFill patternType="solid">
        <fgColor rgb="001F4E78"/>
      </patternFill>
    </fill>
    <fill>
      <patternFill patternType="solid">
        <fgColor rgb="00F2F4F7"/>
      </patternFill>
    </fill>
    <fill>
      <patternFill patternType="solid">
        <fgColor rgb="00FFFFFF"/>
      </patternFill>
    </fill>
  </fills>
  <borders count="3">
    <border>
      <left/>
      <right/>
      <top/>
      <bottom/>
      <diagonal/>
    </border>
    <border>
      <left style="thin">
        <color rgb="00D0D5DD"/>
      </left>
      <right style="thin">
        <color rgb="00D0D5DD"/>
      </right>
      <top style="thin">
        <color rgb="00D0D5DD"/>
      </top>
      <bottom style="thin">
        <color rgb="00D0D5DD"/>
      </bottom>
    </border>
    <border>
      <bottom style="thin">
        <color rgb="00D0D5DD"/>
      </bottom>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wrapText="1"/>
    </xf>
    <xf numFmtId="0" fontId="3" fillId="4" borderId="0" pivotButton="0" quotePrefix="0" xfId="0"/>
    <xf numFmtId="0" fontId="4" fillId="3" borderId="1" applyAlignment="1" pivotButton="0" quotePrefix="0" xfId="0">
      <alignment vertical="top" wrapText="1"/>
    </xf>
    <xf numFmtId="0" fontId="5" fillId="0" borderId="0" pivotButton="0" quotePrefix="0" xfId="0"/>
    <xf numFmtId="0" fontId="6" fillId="5"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xf>
    <xf numFmtId="0" fontId="7" fillId="5" borderId="0" pivotButton="0" quotePrefix="0" xfId="0"/>
    <xf numFmtId="0" fontId="0" fillId="6" borderId="2" applyAlignment="1" pivotButton="0" quotePrefix="0" xfId="0">
      <alignment vertical="center" wrapText="1"/>
    </xf>
    <xf numFmtId="0" fontId="0" fillId="7" borderId="2" applyAlignment="1" pivotButton="0" quotePrefix="0" xfId="0">
      <alignment vertical="center" wrapText="1"/>
    </xf>
    <xf numFmtId="0" fontId="7" fillId="4" borderId="0" pivotButton="0" quotePrefix="0" xfId="0"/>
    <xf numFmtId="0" fontId="0" fillId="3" borderId="1" applyAlignment="1" pivotButton="0" quotePrefix="0" xfId="0">
      <alignment vertical="top" wrapText="1"/>
    </xf>
    <xf numFmtId="0" fontId="8" fillId="0" borderId="1" applyAlignment="1" pivotButton="0" quotePrefix="0" xfId="0">
      <alignment vertical="top" wrapText="1"/>
    </xf>
    <xf numFmtId="9" fontId="8" fillId="0" borderId="1" applyAlignment="1" pivotButton="0" quotePrefix="0" xfId="0">
      <alignment vertical="top" wrapText="1"/>
    </xf>
  </cellXfs>
  <cellStyles count="1">
    <cellStyle name="Normal" xfId="0" builtinId="0" hidden="0"/>
  </cellStyles>
  <dxfs count="4">
    <dxf>
      <font>
        <b val="1"/>
        <color rgb="00B42318"/>
      </font>
      <fill>
        <patternFill patternType="solid">
          <fgColor rgb="00FEE4E2"/>
        </patternFill>
      </fill>
    </dxf>
    <dxf>
      <font>
        <b val="1"/>
        <color rgb="00B54708"/>
      </font>
      <fill>
        <patternFill patternType="solid">
          <fgColor rgb="00FEF0C7"/>
        </patternFill>
      </fill>
    </dxf>
    <dxf>
      <font>
        <b val="1"/>
        <color rgb="008A6100"/>
      </font>
      <fill>
        <patternFill patternType="solid">
          <fgColor rgb="00FFF4CC"/>
        </patternFill>
      </fill>
    </dxf>
    <dxf>
      <font>
        <b val="1"/>
        <color rgb="00027A48"/>
      </font>
      <fill>
        <patternFill patternType="solid">
          <fgColor rgb="00D1FAD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Findings by severity</a:t>
            </a:r>
          </a:p>
        </rich>
      </tx>
    </title>
    <plotArea>
      <barChart>
        <barDir val="bar"/>
        <grouping val="clustered"/>
        <ser>
          <idx val="0"/>
          <order val="0"/>
          <tx>
            <strRef>
              <f>'Executive Summary'!B11</f>
            </strRef>
          </tx>
          <spPr>
            <a:ln xmlns:a="http://schemas.openxmlformats.org/drawingml/2006/main">
              <a:prstDash val="solid"/>
            </a:ln>
          </spPr>
          <cat>
            <numRef>
              <f>'Executive Summary'!$A$12:$A$14</f>
            </numRef>
          </cat>
          <val>
            <numRef>
              <f>'Executive Summary'!$B$12:$B$14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Number of findings</a:t>
                </a:r>
              </a:p>
            </rich>
          </tx>
        </title>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3</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ModuleFindingsTable" displayName="ModuleFindingsTable" ref="A4:N19" headerRowCount="1">
  <autoFilter ref="A4:N19"/>
  <tableColumns count="14">
    <tableColumn id="1" name="Finding ID"/>
    <tableColumn id="2" name="Module"/>
    <tableColumn id="3" name="Severity"/>
    <tableColumn id="4" name="Assessment"/>
    <tableColumn id="5" name="Expected Behaviour"/>
    <tableColumn id="6" name="Current PHP Behaviour"/>
    <tableColumn id="7" name="Operational Impact"/>
    <tableColumn id="8" name="Required Backend Action"/>
    <tableColumn id="9" name="Priority"/>
    <tableColumn id="10" name="Owner"/>
    <tableColumn id="11" name="Backend Response"/>
    <tableColumn id="12" name="Target Date"/>
    <tableColumn id="13" name="Status"/>
    <tableColumn id="14" name="Evidence / Link"/>
  </tableColumns>
  <tableStyleInfo name="TableStyleMedium2" showFirstColumn="0" showLastColumn="0" showRowStripes="1" showColumnStripes="0"/>
</table>
</file>

<file path=xl/tables/table2.xml><?xml version="1.0" encoding="utf-8"?>
<table xmlns="http://schemas.openxmlformats.org/spreadsheetml/2006/main" id="2" name="MissingEndpointsTable" displayName="MissingEndpointsTable" ref="A4:K11" headerRowCount="1">
  <autoFilter ref="A4:K11"/>
  <tableColumns count="11">
    <tableColumn id="1" name="ID"/>
    <tableColumn id="2" name="Method"/>
    <tableColumn id="3" name="Route"/>
    <tableColumn id="4" name="Module"/>
    <tableColumn id="5" name="Expected Behaviour"/>
    <tableColumn id="6" name="Current Impact"/>
    <tableColumn id="7" name="Priority"/>
    <tableColumn id="8" name="Owner"/>
    <tableColumn id="9" name="Backend Response"/>
    <tableColumn id="10" name="Target Date"/>
    <tableColumn id="11" name="Status"/>
  </tableColumns>
  <tableStyleInfo name="TableStyleMedium2" showFirstColumn="0" showLastColumn="0" showRowStripes="1" showColumnStripes="0"/>
</table>
</file>

<file path=xl/tables/table3.xml><?xml version="1.0" encoding="utf-8"?>
<table xmlns="http://schemas.openxmlformats.org/spreadsheetml/2006/main" id="3" name="PriorityActionsTable" displayName="PriorityActionsTable" ref="A4:K28" headerRowCount="1">
  <autoFilter ref="A4:K28"/>
  <tableColumns count="11">
    <tableColumn id="1" name="Action ID"/>
    <tableColumn id="2" name="Priority"/>
    <tableColumn id="3" name="Action"/>
    <tableColumn id="4" name="Area"/>
    <tableColumn id="5" name="Acceptance Evidence"/>
    <tableColumn id="6" name="Suggested Owner"/>
    <tableColumn id="7" name="Assigned Owner"/>
    <tableColumn id="8" name="Backend Response / Plan"/>
    <tableColumn id="9" name="Target Date"/>
    <tableColumn id="10" name="Status"/>
    <tableColumn id="11" name="% Complete"/>
  </tableColumns>
  <tableStyleInfo name="TableStyleMedium2" showFirstColumn="0" showLastColumn="0" showRowStripes="1" showColumnStripes="0"/>
</table>
</file>

<file path=xl/tables/table4.xml><?xml version="1.0" encoding="utf-8"?>
<table xmlns="http://schemas.openxmlformats.org/spreadsheetml/2006/main" id="4" name="BackendQuestionsTable" displayName="BackendQuestionsTable" ref="A4:H18" headerRowCount="1">
  <autoFilter ref="A4:H18"/>
  <tableColumns count="8">
    <tableColumn id="1" name="No."/>
    <tableColumn id="2" name="Question"/>
    <tableColumn id="3" name="Topic"/>
    <tableColumn id="4" name="Backend Response"/>
    <tableColumn id="5" name="Evidence / Link"/>
    <tableColumn id="6" name="Owner"/>
    <tableColumn id="7" name="Response Due"/>
    <tableColumn id="8" name="Status"/>
  </tableColumns>
  <tableStyleInfo name="TableStyleMedium2" showFirstColumn="0" showLastColumn="0" showRowStripes="1" showColumnStripes="0"/>
</table>
</file>

<file path=xl/tables/table5.xml><?xml version="1.0" encoding="utf-8"?>
<table xmlns="http://schemas.openxmlformats.org/spreadsheetml/2006/main" id="5" name="GoLiveCriteriaTable" displayName="GoLiveCriteriaTable" ref="A4:I14" headerRowCount="1">
  <autoFilter ref="A4:I14"/>
  <tableColumns count="9">
    <tableColumn id="1" name="Gate ID"/>
    <tableColumn id="2" name="Area"/>
    <tableColumn id="3" name="Required Condition"/>
    <tableColumn id="4" name="Verification Method"/>
    <tableColumn id="5" name="Current Audit Result"/>
    <tableColumn id="6" name="Backend Evidence"/>
    <tableColumn id="7" name="QA Owner"/>
    <tableColumn id="8" name="Retest Date"/>
    <tableColumn id="9" name="Final Status"/>
  </tableColumns>
  <tableStyleInfo name="TableStyleMedium2" showFirstColumn="0" showLastColumn="0" showRowStripes="1" showColumnStripes="0"/>
</table>
</file>

<file path=xl/tables/table6.xml><?xml version="1.0" encoding="utf-8"?>
<table xmlns="http://schemas.openxmlformats.org/spreadsheetml/2006/main" id="6" name="EvidenceSourcesTable" displayName="EvidenceSourcesTable" ref="A4:E20" headerRowCount="1">
  <autoFilter ref="A4:E20"/>
  <tableColumns count="5">
    <tableColumn id="1" name="Source ID"/>
    <tableColumn id="2" name="Type"/>
    <tableColumn id="3" name="File / Location"/>
    <tableColumn id="4" name="Audit Use"/>
    <tableColumn id="5" name="Backend Com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fitToPage="1"/>
  </sheetPr>
  <dimension ref="A1:J28"/>
  <sheetViews>
    <sheetView showGridLines="0" zoomScale="85" workbookViewId="0">
      <pane ySplit="3" topLeftCell="A4" activePane="bottomLeft" state="frozen"/>
      <selection pane="bottomLeft" activeCell="A1" sqref="A1"/>
    </sheetView>
  </sheetViews>
  <sheetFormatPr baseColWidth="8" defaultRowHeight="15"/>
  <cols>
    <col width="25" customWidth="1" min="1" max="1"/>
    <col width="14" customWidth="1" min="2" max="2"/>
    <col width="4" customWidth="1" min="3" max="3"/>
    <col width="34" customWidth="1" min="4" max="4"/>
    <col width="14" customWidth="1" min="5" max="5"/>
    <col width="20" customWidth="1" min="6" max="6"/>
    <col width="15" customWidth="1" min="7" max="7"/>
    <col width="15" customWidth="1" min="8" max="8"/>
    <col width="15" customWidth="1" min="9" max="9"/>
    <col width="15" customWidth="1" min="10" max="10"/>
  </cols>
  <sheetData>
    <row r="1" ht="34" customHeight="1">
      <c r="A1" s="1" t="inlineStr">
        <is>
          <t>M300 Full Dashboard Backend Logic Audit</t>
        </is>
      </c>
    </row>
    <row r="2" ht="28" customHeight="1">
      <c r="A2" s="2" t="inlineStr">
        <is>
          <t>Prepared for backend-team review | Scope: entire platform | No backend code or data changed</t>
        </is>
      </c>
    </row>
    <row r="4">
      <c r="A4" s="3" t="inlineStr">
        <is>
          <t>Overall conclusion</t>
        </is>
      </c>
    </row>
    <row r="5">
      <c r="A5" s="4" t="inlineStr">
        <is>
          <t>The deployed PHP backend is not production-ready for the dashboard represented by the frontend. It combines database reads with fixed arrays, MockDb data and temporary persistence. Successful HTTP responses do not prove that values are calculated, validated, scoped, auditable or connected across workflows.</t>
        </is>
      </c>
    </row>
    <row r="6"/>
    <row r="7"/>
    <row r="8"/>
    <row r="10">
      <c r="A10" s="5" t="inlineStr">
        <is>
          <t>Finding summary</t>
        </is>
      </c>
      <c r="D10" s="5" t="inlineStr">
        <is>
          <t>Audit facts</t>
        </is>
      </c>
    </row>
    <row r="11">
      <c r="A11" s="6" t="inlineStr">
        <is>
          <t>Severity</t>
        </is>
      </c>
      <c r="B11" s="6" t="inlineStr">
        <is>
          <t>Count</t>
        </is>
      </c>
      <c r="D11" s="6" t="inlineStr">
        <is>
          <t>Measure</t>
        </is>
      </c>
      <c r="E11" s="6" t="inlineStr">
        <is>
          <t>Value</t>
        </is>
      </c>
    </row>
    <row r="12">
      <c r="A12" s="7" t="inlineStr">
        <is>
          <t>Critical</t>
        </is>
      </c>
      <c r="B12" s="8">
        <f>COUNTIF('Module Findings'!$C$5:$C$19,A12)</f>
        <v/>
      </c>
      <c r="D12" s="7" t="inlineStr">
        <is>
          <t>Modules assessed</t>
        </is>
      </c>
      <c r="E12" s="8">
        <f>COUNTA('Module Findings'!$B$5:$B$19)</f>
        <v/>
      </c>
    </row>
    <row r="13">
      <c r="A13" s="7" t="inlineStr">
        <is>
          <t>High</t>
        </is>
      </c>
      <c r="B13" s="8">
        <f>COUNTIF('Module Findings'!$C$5:$C$19,A13)</f>
        <v/>
      </c>
      <c r="D13" s="7" t="inlineStr">
        <is>
          <t>Missing frontend routes</t>
        </is>
      </c>
      <c r="E13" s="8">
        <f>COUNTA('Missing Endpoints'!$C$5:$C$11)</f>
        <v/>
      </c>
    </row>
    <row r="14">
      <c r="A14" s="7" t="inlineStr">
        <is>
          <t>Medium</t>
        </is>
      </c>
      <c r="B14" s="8">
        <f>COUNTIF('Module Findings'!$C$5:$C$19,A14)</f>
        <v/>
      </c>
      <c r="D14" s="7" t="inlineStr">
        <is>
          <t>Backend actions</t>
        </is>
      </c>
      <c r="E14" s="8">
        <f>COUNTA('Priority Actions'!$A$5:$A$28)</f>
        <v/>
      </c>
    </row>
    <row r="15">
      <c r="D15" s="7" t="inlineStr">
        <is>
          <t>Questions requiring response</t>
        </is>
      </c>
      <c r="E15" s="8">
        <f>COUNTA('Backend Questions'!$A$5:$A$18)</f>
        <v/>
      </c>
    </row>
    <row r="17">
      <c r="A17" s="9" t="inlineStr">
        <is>
          <t>Immediate message to the backend team</t>
        </is>
      </c>
    </row>
    <row r="18">
      <c r="A18" s="10" t="inlineStr">
        <is>
          <t>• Confirm which backend and database contain the authoritative Nigeria data.</t>
        </is>
      </c>
    </row>
    <row r="19">
      <c r="A19" s="11" t="inlineStr">
        <is>
          <t>• Identify every endpoint that still returns mock, fixed, seed-only or temporary-store data.</t>
        </is>
      </c>
    </row>
    <row r="20">
      <c r="A20" s="10" t="inlineStr">
        <is>
          <t>• Provide KPI-to-source-to-formula lineage for every dashboard figure.</t>
        </is>
      </c>
    </row>
    <row r="21">
      <c r="A21" s="11" t="inlineStr">
        <is>
          <t>• Close provider access to Administration and unrelated institutional records.</t>
        </is>
      </c>
    </row>
    <row r="22">
      <c r="A22" s="10" t="inlineStr">
        <is>
          <t>• Agree an implementation and acceptance plan before further frontend integration patches.</t>
        </is>
      </c>
    </row>
    <row r="25">
      <c r="A25" s="12" t="inlineStr">
        <is>
          <t>Workbook use</t>
        </is>
      </c>
    </row>
    <row r="26">
      <c r="A26" s="13" t="inlineStr">
        <is>
          <t>Use Module Findings as the issue register. The backend team should enter an owner, written response, target date and status. Use Priority Actions for delivery tracking, Backend Questions for formal clarifications, and Go-Live Criteria for acceptance.</t>
        </is>
      </c>
    </row>
    <row r="27"/>
    <row r="28"/>
  </sheetData>
  <mergeCells count="12">
    <mergeCell ref="A1:J1"/>
    <mergeCell ref="A5:F8"/>
    <mergeCell ref="A19:F19"/>
    <mergeCell ref="A26:F28"/>
    <mergeCell ref="A22:F22"/>
    <mergeCell ref="A17:F17"/>
    <mergeCell ref="A18:F18"/>
    <mergeCell ref="A4:F4"/>
    <mergeCell ref="A2:J2"/>
    <mergeCell ref="A20:F20"/>
    <mergeCell ref="A21:F21"/>
    <mergeCell ref="A25:F25"/>
  </mergeCells>
  <pageMargins left="0.25" right="0.25" top="0.4" bottom="0.4" header="0.5" footer="0.5"/>
  <pageSetup orientation="landscape" fitToHeight="0" fitToWidth="1"/>
  <headerFooter>
    <oddHeader>&amp;CM300 Monitoring Platform — Backend Logic Audit</oddHeader>
    <oddFooter>&amp;LPrepared 25 August 2026&amp;RPage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N19"/>
  <sheetViews>
    <sheetView showGridLines="0" zoomScale="85" workbookViewId="0">
      <pane ySplit="4" topLeftCell="A5" activePane="bottomLeft" state="frozen"/>
      <selection pane="bottomLeft" activeCell="A1" sqref="A1"/>
    </sheetView>
  </sheetViews>
  <sheetFormatPr baseColWidth="8" defaultRowHeight="15"/>
  <cols>
    <col width="12" customWidth="1" min="1" max="1"/>
    <col width="25" customWidth="1" min="2" max="2"/>
    <col width="12" customWidth="1" min="3" max="3"/>
    <col width="20" customWidth="1" min="4" max="4"/>
    <col width="45" customWidth="1" min="5" max="5"/>
    <col width="48" customWidth="1" min="6" max="6"/>
    <col width="40" customWidth="1" min="7" max="7"/>
    <col width="44" customWidth="1" min="8" max="8"/>
    <col width="10" customWidth="1" min="9" max="9"/>
    <col width="20" customWidth="1" min="10" max="10"/>
    <col width="40" customWidth="1" min="11" max="11"/>
    <col width="14" customWidth="1" min="12" max="12"/>
    <col width="24" customWidth="1" min="13" max="13"/>
    <col width="32" customWidth="1" min="14" max="14"/>
  </cols>
  <sheetData>
    <row r="1" ht="34" customHeight="1">
      <c r="A1" s="1" t="inlineStr">
        <is>
          <t>Module Findings</t>
        </is>
      </c>
    </row>
    <row r="2" ht="28" customHeight="1">
      <c r="A2" s="2" t="inlineStr">
        <is>
          <t>Backend team: complete Owner, Backend Response, Target Date and Status. Severity and priority reflect audit impact.</t>
        </is>
      </c>
    </row>
    <row r="4">
      <c r="A4" s="6" t="inlineStr">
        <is>
          <t>Finding ID</t>
        </is>
      </c>
      <c r="B4" s="6" t="inlineStr">
        <is>
          <t>Module</t>
        </is>
      </c>
      <c r="C4" s="6" t="inlineStr">
        <is>
          <t>Severity</t>
        </is>
      </c>
      <c r="D4" s="6" t="inlineStr">
        <is>
          <t>Assessment</t>
        </is>
      </c>
      <c r="E4" s="6" t="inlineStr">
        <is>
          <t>Expected Behaviour</t>
        </is>
      </c>
      <c r="F4" s="6" t="inlineStr">
        <is>
          <t>Current PHP Behaviour</t>
        </is>
      </c>
      <c r="G4" s="6" t="inlineStr">
        <is>
          <t>Operational Impact</t>
        </is>
      </c>
      <c r="H4" s="6" t="inlineStr">
        <is>
          <t>Required Backend Action</t>
        </is>
      </c>
      <c r="I4" s="6" t="inlineStr">
        <is>
          <t>Priority</t>
        </is>
      </c>
      <c r="J4" s="6" t="inlineStr">
        <is>
          <t>Owner</t>
        </is>
      </c>
      <c r="K4" s="6" t="inlineStr">
        <is>
          <t>Backend Response</t>
        </is>
      </c>
      <c r="L4" s="6" t="inlineStr">
        <is>
          <t>Target Date</t>
        </is>
      </c>
      <c r="M4" s="6" t="inlineStr">
        <is>
          <t>Status</t>
        </is>
      </c>
      <c r="N4" s="6" t="inlineStr">
        <is>
          <t>Evidence / Link</t>
        </is>
      </c>
    </row>
    <row r="5" ht="72" customHeight="1">
      <c r="A5" s="14" t="inlineStr">
        <is>
          <t>F-001</t>
        </is>
      </c>
      <c r="B5" s="14" t="inlineStr">
        <is>
          <t>Authentication</t>
        </is>
      </c>
      <c r="C5" s="14" t="inlineStr">
        <is>
          <t>High</t>
        </is>
      </c>
      <c r="D5" s="14" t="inlineStr">
        <is>
          <t>Partial</t>
        </is>
      </c>
      <c r="E5" s="14" t="inlineStr">
        <is>
          <t>Secure account lifecycle, real reset/invite completion, role and scope context, revocation and security audit.</t>
        </is>
      </c>
      <c r="F5" s="14" t="inlineStr">
        <is>
          <t>Database login and lockout exist, but forgot-password is a stub, invitations send no email, access scopes are unused, and permission context is incomplete.</t>
        </is>
      </c>
      <c r="G5" s="14" t="inlineStr">
        <is>
          <t>Invited users cannot complete onboarding; access decisions cannot be made reliably.</t>
        </is>
      </c>
      <c r="H5" s="14" t="inlineStr">
        <is>
          <t>Implement reset/invite lifecycle, token revocation/logout, complete role/scope payload and security-event audit.</t>
        </is>
      </c>
      <c r="I5" s="14" t="inlineStr">
        <is>
          <t>P1</t>
        </is>
      </c>
      <c r="J5" s="14" t="inlineStr"/>
      <c r="K5" s="14" t="inlineStr"/>
      <c r="L5" s="14" t="inlineStr"/>
      <c r="M5" s="14" t="inlineStr">
        <is>
          <t>Backend Response Required</t>
        </is>
      </c>
      <c r="N5" s="14" t="inlineStr">
        <is>
          <t>See Evidence Sources and full Markdown audit</t>
        </is>
      </c>
    </row>
    <row r="6" ht="72" customHeight="1">
      <c r="A6" s="14" t="inlineStr">
        <is>
          <t>F-002</t>
        </is>
      </c>
      <c r="B6" s="14" t="inlineStr">
        <is>
          <t>Authorization &amp; Access Scope</t>
        </is>
      </c>
      <c r="C6" s="14" t="inlineStr">
        <is>
          <t>Critical</t>
        </is>
      </c>
      <c r="D6" s="14" t="inlineStr">
        <is>
          <t>Critical failure</t>
        </is>
      </c>
      <c r="E6" s="14" t="inlineStr">
        <is>
          <t>Server-enforced least privilege for View, Submit, Edit, Validate, Approve, Export and Administer, including institution/dataset/geography/programme scope.</t>
        </is>
      </c>
      <c r="F6" s="14" t="inlineStr">
        <is>
          <t>Most endpoints require only an authenticated token. Role checks exist on only a few writes; frontend navigation hiding is acting as the main restriction.</t>
        </is>
      </c>
      <c r="G6" s="14" t="inlineStr">
        <is>
          <t>A provider can access Administration and unrelated institutional records. This is a confidentiality and integrity risk.</t>
        </is>
      </c>
      <c r="H6" s="14" t="inlineStr">
        <is>
          <t>Create and test an endpoint-by-endpoint permission and record-scope policy; deny out-of-scope access server-side.</t>
        </is>
      </c>
      <c r="I6" s="14" t="inlineStr">
        <is>
          <t>P0</t>
        </is>
      </c>
      <c r="J6" s="14" t="inlineStr"/>
      <c r="K6" s="14" t="inlineStr"/>
      <c r="L6" s="14" t="inlineStr"/>
      <c r="M6" s="14" t="inlineStr">
        <is>
          <t>Backend Response Required</t>
        </is>
      </c>
      <c r="N6" s="14" t="inlineStr">
        <is>
          <t>See Evidence Sources and full Markdown audit</t>
        </is>
      </c>
    </row>
    <row r="7" ht="72" customHeight="1">
      <c r="A7" s="14" t="inlineStr">
        <is>
          <t>F-003</t>
        </is>
      </c>
      <c r="B7" s="14" t="inlineStr">
        <is>
          <t>Executive Overview</t>
        </is>
      </c>
      <c r="C7" s="14" t="inlineStr">
        <is>
          <t>Critical</t>
        </is>
      </c>
      <c r="D7" s="14" t="inlineStr">
        <is>
          <t>Placeholder</t>
        </is>
      </c>
      <c r="E7" s="14" t="inlineStr">
        <is>
          <t>Calculated snapshot from validated KPI, target and implementation records; every filter applied with traceable provenance and current freshness.</t>
        </is>
      </c>
      <c r="F7" s="14" t="inlineStr">
        <is>
          <t>Headline, access, performance and project values are fixed controller arrays. Period/technology filters are ignored and other filters affect only parts of the payload.</t>
        </is>
      </c>
      <c r="G7" s="14" t="inlineStr">
        <is>
          <t>The page appears live while showing non-calculated, stale or unfiltered values.</t>
        </is>
      </c>
      <c r="H7" s="14" t="inlineStr">
        <is>
          <t>Rebuild the response from accepted observations and implementation records; add filter correctness and empty-slice tests.</t>
        </is>
      </c>
      <c r="I7" s="14" t="inlineStr">
        <is>
          <t>P1</t>
        </is>
      </c>
      <c r="J7" s="14" t="inlineStr"/>
      <c r="K7" s="14" t="inlineStr"/>
      <c r="L7" s="14" t="inlineStr"/>
      <c r="M7" s="14" t="inlineStr">
        <is>
          <t>Backend Response Required</t>
        </is>
      </c>
      <c r="N7" s="14" t="inlineStr">
        <is>
          <t>See Evidence Sources and full Markdown audit</t>
        </is>
      </c>
    </row>
    <row r="8" ht="72" customHeight="1">
      <c r="A8" s="14" t="inlineStr">
        <is>
          <t>F-004</t>
        </is>
      </c>
      <c r="B8" s="14" t="inlineStr">
        <is>
          <t>Pillar Dashboards</t>
        </is>
      </c>
      <c r="C8" s="14" t="inlineStr">
        <is>
          <t>Critical</t>
        </is>
      </c>
      <c r="D8" s="14" t="inlineStr">
        <is>
          <t>Mostly placeholder</t>
        </is>
      </c>
      <c r="E8" s="14" t="inlineStr">
        <is>
          <t>Each pillar should filter real KPI, programme/project and bottleneck records and provide useful record-level drill-downs.</t>
        </is>
      </c>
      <c r="F8" s="14" t="inlineStr">
        <is>
          <t>Only parts of the KPI list are database-backed. Headline/delivery values are representative placeholders and bottlenecks are empty because joins are missing.</t>
        </is>
      </c>
      <c r="G8" s="14" t="inlineStr">
        <is>
          <t>Different pillars can display repeated generic information with no operational drill-down.</t>
        </is>
      </c>
      <c r="H8" s="14" t="inlineStr">
        <is>
          <t>Build pillar queries over the shared KPI/implementation/bottleneck data model and implement record relationships.</t>
        </is>
      </c>
      <c r="I8" s="14" t="inlineStr">
        <is>
          <t>P1</t>
        </is>
      </c>
      <c r="J8" s="14" t="inlineStr"/>
      <c r="K8" s="14" t="inlineStr"/>
      <c r="L8" s="14" t="inlineStr"/>
      <c r="M8" s="14" t="inlineStr">
        <is>
          <t>Backend Response Required</t>
        </is>
      </c>
      <c r="N8" s="14" t="inlineStr">
        <is>
          <t>See Evidence Sources and full Markdown audit</t>
        </is>
      </c>
    </row>
    <row r="9" ht="72" customHeight="1">
      <c r="A9" s="14" t="inlineStr">
        <is>
          <t>F-005</t>
        </is>
      </c>
      <c r="B9" s="14" t="inlineStr">
        <is>
          <t>KPI Explorer</t>
        </is>
      </c>
      <c r="C9" s="14" t="inlineStr">
        <is>
          <t>High</t>
        </is>
      </c>
      <c r="D9" s="14" t="inlineStr">
        <is>
          <t>Partial catalogue</t>
        </is>
      </c>
      <c r="E9" s="14" t="inlineStr">
        <is>
          <t>Governed KPI master with formula, mappings, targets, source, readiness, history, versioning, lineage and add/edit/deactivate workflow.</t>
        </is>
      </c>
      <c r="F9" s="14" t="inlineStr">
        <is>
          <t>Some metadata and observation tables are read, but PHP has no general calculation/publication engine, incomplete metadata dimensions and no add/deactivate workflow.</t>
        </is>
      </c>
      <c r="G9" s="14" t="inlineStr">
        <is>
          <t>KPI values cannot be proven to originate from approved submissions, and catalogue governance is incomplete.</t>
        </is>
      </c>
      <c r="H9" s="14" t="inlineStr">
        <is>
          <t>Complete KPI metadata/version model and link published observations transactionally to accepted submissions or approved public sources.</t>
        </is>
      </c>
      <c r="I9" s="14" t="inlineStr">
        <is>
          <t>P1</t>
        </is>
      </c>
      <c r="J9" s="14" t="inlineStr"/>
      <c r="K9" s="14" t="inlineStr"/>
      <c r="L9" s="14" t="inlineStr"/>
      <c r="M9" s="14" t="inlineStr">
        <is>
          <t>Backend Response Required</t>
        </is>
      </c>
      <c r="N9" s="14" t="inlineStr">
        <is>
          <t>See Evidence Sources and full Markdown audit</t>
        </is>
      </c>
    </row>
    <row r="10" ht="72" customHeight="1">
      <c r="A10" s="14" t="inlineStr">
        <is>
          <t>F-006</t>
        </is>
      </c>
      <c r="B10" s="14" t="inlineStr">
        <is>
          <t>Programmes &amp; Projects</t>
        </is>
      </c>
      <c r="C10" s="14" t="inlineStr">
        <is>
          <t>High</t>
        </is>
      </c>
      <c r="D10" s="14" t="inlineStr">
        <is>
          <t>Incomplete/incorrect</t>
        </is>
      </c>
      <c r="E10" s="14" t="inlineStr">
        <is>
          <t>Full programme, project, action and milestone lifecycle with dates, owners, evidence, history, filters and editing.</t>
        </is>
      </c>
      <c r="F10" s="14" t="inlineStr">
        <is>
          <t>Reads exist, but create/update/delete routes used by the UI are missing. Institution filtering uses the wrong field. On-time logic does not compare actual and due dates; pending/missed are mislabeled.</t>
        </is>
      </c>
      <c r="G10" s="14" t="inlineStr">
        <is>
          <t>Users see incorrect delivery performance and cannot complete the implementation workflow.</t>
        </is>
      </c>
      <c r="H10" s="14" t="inlineStr">
        <is>
          <t>Implement authorized CRUD, actions/evidence/history, correct relationship filters, and approved status/date formulas.</t>
        </is>
      </c>
      <c r="I10" s="14" t="inlineStr">
        <is>
          <t>P2</t>
        </is>
      </c>
      <c r="J10" s="14" t="inlineStr"/>
      <c r="K10" s="14" t="inlineStr"/>
      <c r="L10" s="14" t="inlineStr"/>
      <c r="M10" s="14" t="inlineStr">
        <is>
          <t>Backend Response Required</t>
        </is>
      </c>
      <c r="N10" s="14" t="inlineStr">
        <is>
          <t>See Evidence Sources and full Markdown audit</t>
        </is>
      </c>
    </row>
    <row r="11" ht="72" customHeight="1">
      <c r="A11" s="14" t="inlineStr">
        <is>
          <t>F-007</t>
        </is>
      </c>
      <c r="B11" s="14" t="inlineStr">
        <is>
          <t>Bottlenecks &amp; Exceptions</t>
        </is>
      </c>
      <c r="C11" s="14" t="inlineStr">
        <is>
          <t>High</t>
        </is>
      </c>
      <c r="D11" s="14" t="inlineStr">
        <is>
          <t>Incomplete workflow</t>
        </is>
      </c>
      <c r="E11" s="14" t="inlineStr">
        <is>
          <t>Linked register with severity, lifecycle, accountable owner, age, escalation, decisions, resolution, evidence, history and audit.</t>
        </is>
      </c>
      <c r="F11" s="14" t="inlineStr">
        <is>
          <t>Create/list/by-project are partial; frontend and backend creation fields differ. Update, escalation, decision, resolution and evidence workflows are absent.</t>
        </is>
      </c>
      <c r="G11" s="14" t="inlineStr">
        <is>
          <t>Constraints cannot be managed through closure or reliably tied to delivery records.</t>
        </is>
      </c>
      <c r="H11" s="14" t="inlineStr">
        <is>
          <t>Align the request contract and implement full lifecycle transitions, relationships, authorization, evidence and audit.</t>
        </is>
      </c>
      <c r="I11" s="14" t="inlineStr">
        <is>
          <t>P2</t>
        </is>
      </c>
      <c r="J11" s="14" t="inlineStr"/>
      <c r="K11" s="14" t="inlineStr"/>
      <c r="L11" s="14" t="inlineStr"/>
      <c r="M11" s="14" t="inlineStr">
        <is>
          <t>Backend Response Required</t>
        </is>
      </c>
      <c r="N11" s="14" t="inlineStr">
        <is>
          <t>See Evidence Sources and full Markdown audit</t>
        </is>
      </c>
    </row>
    <row r="12" ht="72" customHeight="1">
      <c r="A12" s="14" t="inlineStr">
        <is>
          <t>F-008</t>
        </is>
      </c>
      <c r="B12" s="14" t="inlineStr">
        <is>
          <t>Data Submission &amp; Validation</t>
        </is>
      </c>
      <c r="C12" s="14" t="inlineStr">
        <is>
          <t>Critical</t>
        </is>
      </c>
      <c r="D12" s="14" t="inlineStr">
        <is>
          <t>Simulation</t>
        </is>
      </c>
      <c r="E12" s="14" t="inlineStr">
        <is>
          <t>Versioned templates; preview; parse; field/business validation; calculation; status history; scoped review; publication to KPI history; compliance and audit.</t>
        </is>
      </c>
      <c r="F12" s="14" t="inlineStr">
        <is>
          <t>Obligations/fields are fixed; files are not parsed; validation and KPI values are hardcoded; temporary storage is used; decisions do not publish to PHP KPI tables.</t>
        </is>
      </c>
      <c r="G12" s="14" t="inlineStr">
        <is>
          <t>Uploaded data does not actually drive the dashboard even when the endpoint succeeds.</t>
        </is>
      </c>
      <c r="H12" s="14" t="inlineStr">
        <is>
          <t>Implement the demonstrated parse → validate → calculate → decide → publish → audit transaction using the PHP database schema.</t>
        </is>
      </c>
      <c r="I12" s="14" t="inlineStr">
        <is>
          <t>P1</t>
        </is>
      </c>
      <c r="J12" s="14" t="inlineStr"/>
      <c r="K12" s="14" t="inlineStr"/>
      <c r="L12" s="14" t="inlineStr"/>
      <c r="M12" s="14" t="inlineStr">
        <is>
          <t>Backend Response Required</t>
        </is>
      </c>
      <c r="N12" s="14" t="inlineStr">
        <is>
          <t>See Evidence Sources and full Markdown audit</t>
        </is>
      </c>
    </row>
    <row r="13" ht="72" customHeight="1">
      <c r="A13" s="14" t="inlineStr">
        <is>
          <t>F-009</t>
        </is>
      </c>
      <c r="B13" s="14" t="inlineStr">
        <is>
          <t>State &amp; DisCo Performance</t>
        </is>
      </c>
      <c r="C13" s="14" t="inlineStr">
        <is>
          <t>Critical</t>
        </is>
      </c>
      <c r="D13" s="14" t="inlineStr">
        <is>
          <t>Mock data</t>
        </is>
      </c>
      <c r="E13" s="14" t="inlineStr">
        <is>
          <t>Validated metering, ATC&amp;C, remittance, tariff, supply and delivery calculations filtered consistently by period, DisCo, state and source.</t>
        </is>
      </c>
      <c r="F13" s="14" t="inlineStr">
        <is>
          <t>Fixed MockDb arrays cover only a small sample and are disconnected from submissions and observations.</t>
        </is>
      </c>
      <c r="G13" s="14" t="inlineStr">
        <is>
          <t>Utility and state comparisons are not evidence-based and may fabricate coverage.</t>
        </is>
      </c>
      <c r="H13" s="14" t="inlineStr">
        <is>
          <t>Aggregate only accepted source records using approved weighted formulas; never invent unavailable state/LGA values.</t>
        </is>
      </c>
      <c r="I13" s="14" t="inlineStr">
        <is>
          <t>P1</t>
        </is>
      </c>
      <c r="J13" s="14" t="inlineStr"/>
      <c r="K13" s="14" t="inlineStr"/>
      <c r="L13" s="14" t="inlineStr"/>
      <c r="M13" s="14" t="inlineStr">
        <is>
          <t>Backend Response Required</t>
        </is>
      </c>
      <c r="N13" s="14" t="inlineStr">
        <is>
          <t>See Evidence Sources and full Markdown audit</t>
        </is>
      </c>
    </row>
    <row r="14" ht="72" customHeight="1">
      <c r="A14" s="14" t="inlineStr">
        <is>
          <t>F-010</t>
        </is>
      </c>
      <c r="B14" s="14" t="inlineStr">
        <is>
          <t>Reports &amp; Exports</t>
        </is>
      </c>
      <c r="C14" s="14" t="inlineStr">
        <is>
          <t>High</t>
        </is>
      </c>
      <c r="D14" s="14" t="inlineStr">
        <is>
          <t>Mock generator</t>
        </is>
      </c>
      <c r="E14" s="14" t="inlineStr">
        <is>
          <t>Custom and standard reports generated from approved live records, with saved configurations, CPR mapping, real files, versions and audit.</t>
        </is>
      </c>
      <c r="F14" s="14" t="inlineStr">
        <is>
          <t>Catalogue/preview rows are fixed; saved reports use temporary storage; live modules are not queried; file references are not genuine and methodology route is missing.</t>
        </is>
      </c>
      <c r="G14" s="14" t="inlineStr">
        <is>
          <t>Exports cannot be reconciled to the dashboard or used safely for reporting obligations.</t>
        </is>
      </c>
      <c r="H14" s="14" t="inlineStr">
        <is>
          <t>Generate reports from the same approved observations/register records; persist runs/files/configurations and provide complete provenance.</t>
        </is>
      </c>
      <c r="I14" s="14" t="inlineStr">
        <is>
          <t>P2</t>
        </is>
      </c>
      <c r="J14" s="14" t="inlineStr"/>
      <c r="K14" s="14" t="inlineStr"/>
      <c r="L14" s="14" t="inlineStr"/>
      <c r="M14" s="14" t="inlineStr">
        <is>
          <t>Backend Response Required</t>
        </is>
      </c>
      <c r="N14" s="14" t="inlineStr">
        <is>
          <t>See Evidence Sources and full Markdown audit</t>
        </is>
      </c>
    </row>
    <row r="15" ht="72" customHeight="1">
      <c r="A15" s="14" t="inlineStr">
        <is>
          <t>F-011</t>
        </is>
      </c>
      <c r="B15" s="14" t="inlineStr">
        <is>
          <t>Stakeholders &amp; Institutions</t>
        </is>
      </c>
      <c r="C15" s="14" t="inlineStr">
        <is>
          <t>Medium</t>
        </is>
      </c>
      <c r="D15" s="14" t="inlineStr">
        <is>
          <t>Partial directory</t>
        </is>
      </c>
      <c r="E15" s="14" t="inlineStr">
        <is>
          <t>Institution registry with custodians, focal roles, datasets, programmes/projects, geographies and responsibility assignments.</t>
        </is>
      </c>
      <c r="F15" s="14" t="inlineStr">
        <is>
          <t>Some registry and custodian data is database-backed, but the full responsibility/scope model is absent and reads are broadly accessible.</t>
        </is>
      </c>
      <c r="G15" s="14" t="inlineStr">
        <is>
          <t>Accountability and assignment workflows cannot be enforced or reported completely.</t>
        </is>
      </c>
      <c r="H15" s="14" t="inlineStr">
        <is>
          <t>Complete institution-to-dataset/programme/project/geography mappings and apply them to authorization and queues.</t>
        </is>
      </c>
      <c r="I15" s="14" t="inlineStr">
        <is>
          <t>P2</t>
        </is>
      </c>
      <c r="J15" s="14" t="inlineStr"/>
      <c r="K15" s="14" t="inlineStr"/>
      <c r="L15" s="14" t="inlineStr"/>
      <c r="M15" s="14" t="inlineStr">
        <is>
          <t>Backend Response Required</t>
        </is>
      </c>
      <c r="N15" s="14" t="inlineStr">
        <is>
          <t>See Evidence Sources and full Markdown audit</t>
        </is>
      </c>
    </row>
    <row r="16" ht="72" customHeight="1">
      <c r="A16" s="14" t="inlineStr">
        <is>
          <t>F-012</t>
        </is>
      </c>
      <c r="B16" s="14" t="inlineStr">
        <is>
          <t>User Administration</t>
        </is>
      </c>
      <c r="C16" s="14" t="inlineStr">
        <is>
          <t>Critical</t>
        </is>
      </c>
      <c r="D16" s="14" t="inlineStr">
        <is>
          <t>Incomplete/overexposed</t>
        </is>
      </c>
      <c r="E16" s="14" t="inlineStr">
        <is>
          <t>Complete lifecycle, role/permission matrix, multiple access scopes, edit/suspend/reactivate, MFA policy, invitations and audit.</t>
        </is>
      </c>
      <c r="F16" s="14" t="inlineStr">
        <is>
          <t>User listing/invite creation exist, but invitation delivery/reset completion and lifecycle operations are missing. Administration reads are not admin-only.</t>
        </is>
      </c>
      <c r="G16" s="14" t="inlineStr">
        <is>
          <t>User onboarding is broken and sensitive administrative data is exposed.</t>
        </is>
      </c>
      <c r="H16" s="14" t="inlineStr">
        <is>
          <t>Restrict all administration operations, complete onboarding and account lifecycle, manage scopes and record every change.</t>
        </is>
      </c>
      <c r="I16" s="14" t="inlineStr">
        <is>
          <t>P0</t>
        </is>
      </c>
      <c r="J16" s="14" t="inlineStr"/>
      <c r="K16" s="14" t="inlineStr"/>
      <c r="L16" s="14" t="inlineStr"/>
      <c r="M16" s="14" t="inlineStr">
        <is>
          <t>Backend Response Required</t>
        </is>
      </c>
      <c r="N16" s="14" t="inlineStr">
        <is>
          <t>See Evidence Sources and full Markdown audit</t>
        </is>
      </c>
    </row>
    <row r="17" ht="72" customHeight="1">
      <c r="A17" s="14" t="inlineStr">
        <is>
          <t>F-013</t>
        </is>
      </c>
      <c r="B17" s="14" t="inlineStr">
        <is>
          <t>Public Gateway</t>
        </is>
      </c>
      <c r="C17" s="14" t="inlineStr">
        <is>
          <t>High</t>
        </is>
      </c>
      <c r="D17" s="14" t="inlineStr">
        <is>
          <t>Integration failure</t>
        </is>
      </c>
      <c r="E17" s="14" t="inlineStr">
        <is>
          <t>Public, safe, approved indicators with provenance through an unauthenticated public API.</t>
        </is>
      </c>
      <c r="F17" s="14" t="inlineStr">
        <is>
          <t>PHP provides a fixed public endpoint, but the frontend public pages call protected executive/state endpoints.</t>
        </is>
      </c>
      <c r="G17" s="14" t="inlineStr">
        <is>
          <t>Public pages may fail without login and do not have a controlled publication boundary.</t>
        </is>
      </c>
      <c r="H17" s="14" t="inlineStr">
        <is>
          <t>Make the frontend consume the public endpoint and return only explicitly publishable approved observations.</t>
        </is>
      </c>
      <c r="I17" s="14" t="inlineStr">
        <is>
          <t>P1</t>
        </is>
      </c>
      <c r="J17" s="14" t="inlineStr"/>
      <c r="K17" s="14" t="inlineStr"/>
      <c r="L17" s="14" t="inlineStr"/>
      <c r="M17" s="14" t="inlineStr">
        <is>
          <t>Backend Response Required</t>
        </is>
      </c>
      <c r="N17" s="14" t="inlineStr">
        <is>
          <t>See Evidence Sources and full Markdown audit</t>
        </is>
      </c>
    </row>
    <row r="18" ht="72" customHeight="1">
      <c r="A18" s="14" t="inlineStr">
        <is>
          <t>F-014</t>
        </is>
      </c>
      <c r="B18" s="14" t="inlineStr">
        <is>
          <t>Branding</t>
        </is>
      </c>
      <c r="C18" s="14" t="inlineStr">
        <is>
          <t>Medium</t>
        </is>
      </c>
      <c r="D18" s="14" t="inlineStr">
        <is>
          <t>Partial</t>
        </is>
      </c>
      <c r="E18" s="14" t="inlineStr">
        <is>
          <t>Persisted country configuration with admin-only writes and a functional reset.</t>
        </is>
      </c>
      <c r="F18" s="14" t="inlineStr">
        <is>
          <t>Writes are admin-gated but use file/mock persistence; the frontend reset route does not exist in PHP.</t>
        </is>
      </c>
      <c r="G18" s="14" t="inlineStr">
        <is>
          <t>Configuration can drift and reset fails in live backend mode.</t>
        </is>
      </c>
      <c r="H18" s="14" t="inlineStr">
        <is>
          <t>Use governed persistence and implement the contracted reset endpoint with audit.</t>
        </is>
      </c>
      <c r="I18" s="14" t="inlineStr">
        <is>
          <t>P2</t>
        </is>
      </c>
      <c r="J18" s="14" t="inlineStr"/>
      <c r="K18" s="14" t="inlineStr"/>
      <c r="L18" s="14" t="inlineStr"/>
      <c r="M18" s="14" t="inlineStr">
        <is>
          <t>Backend Response Required</t>
        </is>
      </c>
      <c r="N18" s="14" t="inlineStr">
        <is>
          <t>See Evidence Sources and full Markdown audit</t>
        </is>
      </c>
    </row>
    <row r="19" ht="72" customHeight="1">
      <c r="A19" s="14" t="inlineStr">
        <is>
          <t>F-015</t>
        </is>
      </c>
      <c r="B19" s="14" t="inlineStr">
        <is>
          <t>Audit &amp; Activity</t>
        </is>
      </c>
      <c r="C19" s="14" t="inlineStr">
        <is>
          <t>Critical</t>
        </is>
      </c>
      <c r="D19" s="14" t="inlineStr">
        <is>
          <t>Missing</t>
        </is>
      </c>
      <c r="E19" s="14" t="inlineStr">
        <is>
          <t>Immutable cross-module events for login, upload, edit, validation, approval, export and administration.</t>
        </is>
      </c>
      <c r="F19" s="14" t="inlineStr">
        <is>
          <t>An audit table exists, but controllers do not write platform events and no activity API is available.</t>
        </is>
      </c>
      <c r="G19" s="14" t="inlineStr">
        <is>
          <t>Changes and decisions cannot be reconstructed or defended.</t>
        </is>
      </c>
      <c r="H19" s="14" t="inlineStr">
        <is>
          <t>Create a shared audit service, transactional event writes, retention policy and scoped audit query API.</t>
        </is>
      </c>
      <c r="I19" s="14" t="inlineStr">
        <is>
          <t>P0</t>
        </is>
      </c>
      <c r="J19" s="14" t="inlineStr"/>
      <c r="K19" s="14" t="inlineStr"/>
      <c r="L19" s="14" t="inlineStr"/>
      <c r="M19" s="14" t="inlineStr">
        <is>
          <t>Backend Response Required</t>
        </is>
      </c>
      <c r="N19" s="14" t="inlineStr">
        <is>
          <t>See Evidence Sources and full Markdown audit</t>
        </is>
      </c>
    </row>
  </sheetData>
  <autoFilter ref="A4:N19"/>
  <mergeCells count="2">
    <mergeCell ref="A2:N2"/>
    <mergeCell ref="A1:N1"/>
  </mergeCells>
  <conditionalFormatting sqref="C5:C19">
    <cfRule type="expression" priority="1" dxfId="0">
      <formula>$C5="Critical"</formula>
    </cfRule>
    <cfRule type="expression" priority="2" dxfId="1">
      <formula>$C5="High"</formula>
    </cfRule>
    <cfRule type="expression" priority="3" dxfId="2">
      <formula>$C5="Medium"</formula>
    </cfRule>
  </conditionalFormatting>
  <conditionalFormatting sqref="M5:M19">
    <cfRule type="expression" priority="4" dxfId="3">
      <formula>$M5="Resolved"</formula>
    </cfRule>
  </conditionalFormatting>
  <dataValidations count="2">
    <dataValidation sqref="M5:M19" showDropDown="0" showInputMessage="0" showErrorMessage="0" allowBlank="1" errorTitle="Invalid status" error="Select a status from the dropdown." type="list">
      <formula1>"Backend Response Required,Open,In Progress,Resolved,Accepted Risk"</formula1>
    </dataValidation>
    <dataValidation sqref="I5:I19" showDropDown="0" showInputMessage="0" showErrorMessage="0" allowBlank="1" type="list">
      <formula1>"P0,P1,P2,P3"</formula1>
    </dataValidation>
  </dataValidations>
  <pageMargins left="0.25" right="0.25" top="0.4" bottom="0.4" header="0.5" footer="0.5"/>
  <pageSetup orientation="landscape" fitToHeight="0" fitToWidth="1"/>
  <headerFooter>
    <oddHeader>&amp;CM300 Monitoring Platform — Backend Logic Audit</oddHeader>
    <oddFooter>&amp;LPrepared 25 August 2026&amp;RPage &amp;P of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K11"/>
  <sheetViews>
    <sheetView showGridLines="0" zoomScale="85" workbookViewId="0">
      <pane ySplit="4" topLeftCell="A5" activePane="bottomLeft" state="frozen"/>
      <selection pane="bottomLeft" activeCell="A1" sqref="A1"/>
    </sheetView>
  </sheetViews>
  <sheetFormatPr baseColWidth="8" defaultRowHeight="15"/>
  <cols>
    <col width="10" customWidth="1" min="1" max="1"/>
    <col width="10" customWidth="1" min="2" max="2"/>
    <col width="42" customWidth="1" min="3" max="3"/>
    <col width="24" customWidth="1" min="4" max="4"/>
    <col width="46" customWidth="1" min="5" max="5"/>
    <col width="38" customWidth="1" min="6" max="6"/>
    <col width="10" customWidth="1" min="7" max="7"/>
    <col width="20" customWidth="1" min="8" max="8"/>
    <col width="40" customWidth="1" min="9" max="9"/>
    <col width="14" customWidth="1" min="10" max="10"/>
    <col width="24" customWidth="1" min="11" max="11"/>
  </cols>
  <sheetData>
    <row r="1" ht="34" customHeight="1">
      <c r="A1" s="1" t="inlineStr">
        <is>
          <t>Missing Frontend Endpoints</t>
        </is>
      </c>
    </row>
    <row r="2" ht="28" customHeight="1">
      <c r="A2" s="2" t="inlineStr">
        <is>
          <t>Routes currently called or exposed by the frontend but absent from the deployed PHP route table.</t>
        </is>
      </c>
    </row>
    <row r="4">
      <c r="A4" s="6" t="inlineStr">
        <is>
          <t>ID</t>
        </is>
      </c>
      <c r="B4" s="6" t="inlineStr">
        <is>
          <t>Method</t>
        </is>
      </c>
      <c r="C4" s="6" t="inlineStr">
        <is>
          <t>Route</t>
        </is>
      </c>
      <c r="D4" s="6" t="inlineStr">
        <is>
          <t>Module</t>
        </is>
      </c>
      <c r="E4" s="6" t="inlineStr">
        <is>
          <t>Expected Behaviour</t>
        </is>
      </c>
      <c r="F4" s="6" t="inlineStr">
        <is>
          <t>Current Impact</t>
        </is>
      </c>
      <c r="G4" s="6" t="inlineStr">
        <is>
          <t>Priority</t>
        </is>
      </c>
      <c r="H4" s="6" t="inlineStr">
        <is>
          <t>Owner</t>
        </is>
      </c>
      <c r="I4" s="6" t="inlineStr">
        <is>
          <t>Backend Response</t>
        </is>
      </c>
      <c r="J4" s="6" t="inlineStr">
        <is>
          <t>Target Date</t>
        </is>
      </c>
      <c r="K4" s="6" t="inlineStr">
        <is>
          <t>Status</t>
        </is>
      </c>
    </row>
    <row r="5" ht="62" customHeight="1">
      <c r="A5" s="14" t="inlineStr">
        <is>
          <t>E-001</t>
        </is>
      </c>
      <c r="B5" s="14" t="inlineStr">
        <is>
          <t>GET</t>
        </is>
      </c>
      <c r="C5" s="14" t="inlineStr">
        <is>
          <t>/api/data-submissions/datasets</t>
        </is>
      </c>
      <c r="D5" s="14" t="inlineStr">
        <is>
          <t>Data Submission</t>
        </is>
      </c>
      <c r="E5" s="14" t="inlineStr">
        <is>
          <t>Dataset catalogue behind obligations, templates, fields, ownership and KPI mappings.</t>
        </is>
      </c>
      <c r="F5" s="14" t="inlineStr">
        <is>
          <t>Frontend request fails in backend mode.</t>
        </is>
      </c>
      <c r="G5" s="14" t="inlineStr">
        <is>
          <t>P0</t>
        </is>
      </c>
      <c r="H5" s="14" t="inlineStr"/>
      <c r="I5" s="14" t="inlineStr"/>
      <c r="J5" s="14" t="inlineStr"/>
      <c r="K5" s="14" t="inlineStr">
        <is>
          <t>Backend Response Required</t>
        </is>
      </c>
    </row>
    <row r="6" ht="62" customHeight="1">
      <c r="A6" s="14" t="inlineStr">
        <is>
          <t>E-002</t>
        </is>
      </c>
      <c r="B6" s="14" t="inlineStr">
        <is>
          <t>GET</t>
        </is>
      </c>
      <c r="C6" s="14" t="inlineStr">
        <is>
          <t>/api/reports/methodology</t>
        </is>
      </c>
      <c r="D6" s="14" t="inlineStr">
        <is>
          <t>Reports</t>
        </is>
      </c>
      <c r="E6" s="14" t="inlineStr">
        <is>
          <t>Definitions, formulae, sources and limitations used in generated reports.</t>
        </is>
      </c>
      <c r="F6" s="14" t="inlineStr">
        <is>
          <t>Reports methodology section cannot load.</t>
        </is>
      </c>
      <c r="G6" s="14" t="inlineStr">
        <is>
          <t>P1</t>
        </is>
      </c>
      <c r="H6" s="14" t="inlineStr"/>
      <c r="I6" s="14" t="inlineStr"/>
      <c r="J6" s="14" t="inlineStr"/>
      <c r="K6" s="14" t="inlineStr">
        <is>
          <t>Backend Response Required</t>
        </is>
      </c>
    </row>
    <row r="7" ht="62" customHeight="1">
      <c r="A7" s="14" t="inlineStr">
        <is>
          <t>E-003</t>
        </is>
      </c>
      <c r="B7" s="14" t="inlineStr">
        <is>
          <t>POST</t>
        </is>
      </c>
      <c r="C7" s="14" t="inlineStr">
        <is>
          <t>/api/branding/reset</t>
        </is>
      </c>
      <c r="D7" s="14" t="inlineStr">
        <is>
          <t>Branding</t>
        </is>
      </c>
      <c r="E7" s="14" t="inlineStr">
        <is>
          <t>Restore approved default branding configuration.</t>
        </is>
      </c>
      <c r="F7" s="14" t="inlineStr">
        <is>
          <t>Reset action fails in backend mode.</t>
        </is>
      </c>
      <c r="G7" s="14" t="inlineStr">
        <is>
          <t>P2</t>
        </is>
      </c>
      <c r="H7" s="14" t="inlineStr"/>
      <c r="I7" s="14" t="inlineStr"/>
      <c r="J7" s="14" t="inlineStr"/>
      <c r="K7" s="14" t="inlineStr">
        <is>
          <t>Backend Response Required</t>
        </is>
      </c>
    </row>
    <row r="8" ht="62" customHeight="1">
      <c r="A8" s="14" t="inlineStr">
        <is>
          <t>E-004</t>
        </is>
      </c>
      <c r="B8" s="14" t="inlineStr">
        <is>
          <t>POST</t>
        </is>
      </c>
      <c r="C8" s="14" t="inlineStr">
        <is>
          <t>/api/programs</t>
        </is>
      </c>
      <c r="D8" s="14" t="inlineStr">
        <is>
          <t>Implementation Register</t>
        </is>
      </c>
      <c r="E8" s="14" t="inlineStr">
        <is>
          <t>Create an authorized, validated programme with history and audit.</t>
        </is>
      </c>
      <c r="F8" s="14" t="inlineStr">
        <is>
          <t>Add Programme page cannot complete.</t>
        </is>
      </c>
      <c r="G8" s="14" t="inlineStr">
        <is>
          <t>P1</t>
        </is>
      </c>
      <c r="H8" s="14" t="inlineStr"/>
      <c r="I8" s="14" t="inlineStr"/>
      <c r="J8" s="14" t="inlineStr"/>
      <c r="K8" s="14" t="inlineStr">
        <is>
          <t>Backend Response Required</t>
        </is>
      </c>
    </row>
    <row r="9" ht="62" customHeight="1">
      <c r="A9" s="14" t="inlineStr">
        <is>
          <t>E-005</t>
        </is>
      </c>
      <c r="B9" s="14" t="inlineStr">
        <is>
          <t>POST</t>
        </is>
      </c>
      <c r="C9" s="14" t="inlineStr">
        <is>
          <t>/api/programs/projects</t>
        </is>
      </c>
      <c r="D9" s="14" t="inlineStr">
        <is>
          <t>Implementation Register</t>
        </is>
      </c>
      <c r="E9" s="14" t="inlineStr">
        <is>
          <t>Create a project linked to programme, institution, pillar and location.</t>
        </is>
      </c>
      <c r="F9" s="14" t="inlineStr">
        <is>
          <t>Add Project page cannot complete.</t>
        </is>
      </c>
      <c r="G9" s="14" t="inlineStr">
        <is>
          <t>P1</t>
        </is>
      </c>
      <c r="H9" s="14" t="inlineStr"/>
      <c r="I9" s="14" t="inlineStr"/>
      <c r="J9" s="14" t="inlineStr"/>
      <c r="K9" s="14" t="inlineStr">
        <is>
          <t>Backend Response Required</t>
        </is>
      </c>
    </row>
    <row r="10" ht="62" customHeight="1">
      <c r="A10" s="14" t="inlineStr">
        <is>
          <t>E-006</t>
        </is>
      </c>
      <c r="B10" s="14" t="inlineStr">
        <is>
          <t>PATCH</t>
        </is>
      </c>
      <c r="C10" s="14" t="inlineStr">
        <is>
          <t>/api/programs/projects/:projectId</t>
        </is>
      </c>
      <c r="D10" s="14" t="inlineStr">
        <is>
          <t>Implementation Register</t>
        </is>
      </c>
      <c r="E10" s="14" t="inlineStr">
        <is>
          <t>Update project fields with version/history and authorization.</t>
        </is>
      </c>
      <c r="F10" s="14" t="inlineStr">
        <is>
          <t>Edit Project page cannot save.</t>
        </is>
      </c>
      <c r="G10" s="14" t="inlineStr">
        <is>
          <t>P1</t>
        </is>
      </c>
      <c r="H10" s="14" t="inlineStr"/>
      <c r="I10" s="14" t="inlineStr"/>
      <c r="J10" s="14" t="inlineStr"/>
      <c r="K10" s="14" t="inlineStr">
        <is>
          <t>Backend Response Required</t>
        </is>
      </c>
    </row>
    <row r="11" ht="62" customHeight="1">
      <c r="A11" s="14" t="inlineStr">
        <is>
          <t>E-007</t>
        </is>
      </c>
      <c r="B11" s="14" t="inlineStr">
        <is>
          <t>DELETE</t>
        </is>
      </c>
      <c r="C11" s="14" t="inlineStr">
        <is>
          <t>/api/programs/projects/:projectId</t>
        </is>
      </c>
      <c r="D11" s="14" t="inlineStr">
        <is>
          <t>Implementation Register</t>
        </is>
      </c>
      <c r="E11" s="14" t="inlineStr">
        <is>
          <t>Authorized archive/delete behavior with dependency checks and audit.</t>
        </is>
      </c>
      <c r="F11" s="14" t="inlineStr">
        <is>
          <t>Delete action cannot complete.</t>
        </is>
      </c>
      <c r="G11" s="14" t="inlineStr">
        <is>
          <t>P2</t>
        </is>
      </c>
      <c r="H11" s="14" t="inlineStr"/>
      <c r="I11" s="14" t="inlineStr"/>
      <c r="J11" s="14" t="inlineStr"/>
      <c r="K11" s="14" t="inlineStr">
        <is>
          <t>Backend Response Required</t>
        </is>
      </c>
    </row>
  </sheetData>
  <mergeCells count="2">
    <mergeCell ref="A2:K2"/>
    <mergeCell ref="A1:K1"/>
  </mergeCells>
  <dataValidations count="2">
    <dataValidation sqref="K5:K11" showDropDown="0" showInputMessage="0" showErrorMessage="0" allowBlank="1" errorTitle="Invalid status" error="Select a status from the dropdown." type="list">
      <formula1>"Backend Response Required,Open,In Progress,Resolved,Accepted Risk"</formula1>
    </dataValidation>
    <dataValidation sqref="G5:G11" showDropDown="0" showInputMessage="0" showErrorMessage="0" allowBlank="1" type="list">
      <formula1>"P0,P1,P2,P3"</formula1>
    </dataValidation>
  </dataValidations>
  <pageMargins left="0.25" right="0.25" top="0.4" bottom="0.4" header="0.5" footer="0.5"/>
  <pageSetup orientation="landscape" fitToHeight="0" fitToWidth="1"/>
  <headerFooter>
    <oddHeader>&amp;CM300 Monitoring Platform — Backend Logic Audit</oddHeader>
    <oddFooter>&amp;LPrepared 25 August 2026&amp;RPage &amp;P of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K28"/>
  <sheetViews>
    <sheetView showGridLines="0" zoomScale="85" workbookViewId="0">
      <pane ySplit="4" topLeftCell="A5" activePane="bottomLeft" state="frozen"/>
      <selection pane="bottomLeft" activeCell="A1" sqref="A1"/>
    </sheetView>
  </sheetViews>
  <sheetFormatPr baseColWidth="8" defaultRowHeight="15"/>
  <cols>
    <col width="11" customWidth="1" min="1" max="1"/>
    <col width="10" customWidth="1" min="2" max="2"/>
    <col width="54" customWidth="1" min="3" max="3"/>
    <col width="24" customWidth="1" min="4" max="4"/>
    <col width="48" customWidth="1" min="5" max="5"/>
    <col width="20" customWidth="1" min="6" max="6"/>
    <col width="20" customWidth="1" min="7" max="7"/>
    <col width="42" customWidth="1" min="8" max="8"/>
    <col width="14" customWidth="1" min="9" max="9"/>
    <col width="24" customWidth="1" min="10" max="10"/>
    <col width="12" customWidth="1" min="11" max="11"/>
  </cols>
  <sheetData>
    <row r="1" ht="34" customHeight="1">
      <c r="A1" s="1" t="inlineStr">
        <is>
          <t>Prioritized Backend Action Plan</t>
        </is>
      </c>
    </row>
    <row r="2" ht="28" customHeight="1">
      <c r="A2" s="2" t="inlineStr">
        <is>
          <t>P0 = immediate security/truthfulness risk; P1 = data spine; P2 = workflow completion; P3 = acceptance and governance.</t>
        </is>
      </c>
    </row>
    <row r="4">
      <c r="A4" s="6" t="inlineStr">
        <is>
          <t>Action ID</t>
        </is>
      </c>
      <c r="B4" s="6" t="inlineStr">
        <is>
          <t>Priority</t>
        </is>
      </c>
      <c r="C4" s="6" t="inlineStr">
        <is>
          <t>Action</t>
        </is>
      </c>
      <c r="D4" s="6" t="inlineStr">
        <is>
          <t>Area</t>
        </is>
      </c>
      <c r="E4" s="6" t="inlineStr">
        <is>
          <t>Acceptance Evidence</t>
        </is>
      </c>
      <c r="F4" s="6" t="inlineStr">
        <is>
          <t>Suggested Owner</t>
        </is>
      </c>
      <c r="G4" s="6" t="inlineStr">
        <is>
          <t>Assigned Owner</t>
        </is>
      </c>
      <c r="H4" s="6" t="inlineStr">
        <is>
          <t>Backend Response / Plan</t>
        </is>
      </c>
      <c r="I4" s="6" t="inlineStr">
        <is>
          <t>Target Date</t>
        </is>
      </c>
      <c r="J4" s="6" t="inlineStr">
        <is>
          <t>Status</t>
        </is>
      </c>
      <c r="K4" s="6" t="inlineStr">
        <is>
          <t>% Complete</t>
        </is>
      </c>
    </row>
    <row r="5" ht="58" customHeight="1">
      <c r="A5" s="14" t="inlineStr">
        <is>
          <t>A-001</t>
        </is>
      </c>
      <c r="B5" s="14" t="inlineStr">
        <is>
          <t>P0</t>
        </is>
      </c>
      <c r="C5" s="14" t="inlineStr">
        <is>
          <t>Inventory every fixed, MockDb, seed-only and temporary-store response; label or disable it until approved lineage exists.</t>
        </is>
      </c>
      <c r="D5" s="14" t="inlineStr">
        <is>
          <t>All modules</t>
        </is>
      </c>
      <c r="E5" s="14" t="inlineStr">
        <is>
          <t>No mock response is presented as confirmed/live; inventory is signed off.</t>
        </is>
      </c>
      <c r="F5" s="14" t="inlineStr">
        <is>
          <t>Backend Lead</t>
        </is>
      </c>
      <c r="G5" s="14" t="inlineStr"/>
      <c r="H5" s="14" t="inlineStr"/>
      <c r="I5" s="14" t="inlineStr"/>
      <c r="J5" s="14" t="inlineStr">
        <is>
          <t>Backend Response Required</t>
        </is>
      </c>
      <c r="K5" s="15" t="n">
        <v>0</v>
      </c>
    </row>
    <row r="6" ht="58" customHeight="1">
      <c r="A6" s="14" t="inlineStr">
        <is>
          <t>A-002</t>
        </is>
      </c>
      <c r="B6" s="14" t="inlineStr">
        <is>
          <t>P0</t>
        </is>
      </c>
      <c r="C6" s="14" t="inlineStr">
        <is>
          <t>Enforce permission and record scope on every endpoint.</t>
        </is>
      </c>
      <c r="D6" s="14" t="inlineStr">
        <is>
          <t>Security</t>
        </is>
      </c>
      <c r="E6" s="14" t="inlineStr">
        <is>
          <t>Automated role/scope matrix tests reject every unauthorized case.</t>
        </is>
      </c>
      <c r="F6" s="14" t="inlineStr">
        <is>
          <t>Security Lead</t>
        </is>
      </c>
      <c r="G6" s="14" t="inlineStr"/>
      <c r="H6" s="14" t="inlineStr"/>
      <c r="I6" s="14" t="inlineStr"/>
      <c r="J6" s="14" t="inlineStr">
        <is>
          <t>Backend Response Required</t>
        </is>
      </c>
      <c r="K6" s="15" t="n">
        <v>0</v>
      </c>
    </row>
    <row r="7" ht="58" customHeight="1">
      <c r="A7" s="14" t="inlineStr">
        <is>
          <t>A-003</t>
        </is>
      </c>
      <c r="B7" s="14" t="inlineStr">
        <is>
          <t>P0</t>
        </is>
      </c>
      <c r="C7" s="14" t="inlineStr">
        <is>
          <t>Remove provider access to Administration and unrelated institutional obligations.</t>
        </is>
      </c>
      <c r="D7" s="14" t="inlineStr">
        <is>
          <t>Security</t>
        </is>
      </c>
      <c r="E7" s="14" t="inlineStr">
        <is>
          <t>Provider receives 403/filtered results in live verification.</t>
        </is>
      </c>
      <c r="F7" s="14" t="inlineStr">
        <is>
          <t>Security Lead</t>
        </is>
      </c>
      <c r="G7" s="14" t="inlineStr"/>
      <c r="H7" s="14" t="inlineStr"/>
      <c r="I7" s="14" t="inlineStr"/>
      <c r="J7" s="14" t="inlineStr">
        <is>
          <t>Backend Response Required</t>
        </is>
      </c>
      <c r="K7" s="15" t="n">
        <v>0</v>
      </c>
    </row>
    <row r="8" ht="58" customHeight="1">
      <c r="A8" s="14" t="inlineStr">
        <is>
          <t>A-004</t>
        </is>
      </c>
      <c r="B8" s="14" t="inlineStr">
        <is>
          <t>P0</t>
        </is>
      </c>
      <c r="C8" s="14" t="inlineStr">
        <is>
          <t>Agree one API contract, ID strategy and controlled vocabulary.</t>
        </is>
      </c>
      <c r="D8" s="14" t="inlineStr">
        <is>
          <t>Architecture</t>
        </is>
      </c>
      <c r="E8" s="14" t="inlineStr">
        <is>
          <t>Frontend schema contract tests pass for all routes.</t>
        </is>
      </c>
      <c r="F8" s="14" t="inlineStr">
        <is>
          <t>API Lead</t>
        </is>
      </c>
      <c r="G8" s="14" t="inlineStr"/>
      <c r="H8" s="14" t="inlineStr"/>
      <c r="I8" s="14" t="inlineStr"/>
      <c r="J8" s="14" t="inlineStr">
        <is>
          <t>Backend Response Required</t>
        </is>
      </c>
      <c r="K8" s="15" t="n">
        <v>0</v>
      </c>
    </row>
    <row r="9" ht="58" customHeight="1">
      <c r="A9" s="14" t="inlineStr">
        <is>
          <t>A-005</t>
        </is>
      </c>
      <c r="B9" s="14" t="inlineStr">
        <is>
          <t>P0</t>
        </is>
      </c>
      <c r="C9" s="14" t="inlineStr">
        <is>
          <t>Confirm the authoritative Nigeria backend, database and environments.</t>
        </is>
      </c>
      <c r="D9" s="14" t="inlineStr">
        <is>
          <t>Governance</t>
        </is>
      </c>
      <c r="E9" s="14" t="inlineStr">
        <is>
          <t>Written environment/data-source statement is provided.</t>
        </is>
      </c>
      <c r="F9" s="14" t="inlineStr">
        <is>
          <t>Product Owner</t>
        </is>
      </c>
      <c r="G9" s="14" t="inlineStr"/>
      <c r="H9" s="14" t="inlineStr"/>
      <c r="I9" s="14" t="inlineStr"/>
      <c r="J9" s="14" t="inlineStr">
        <is>
          <t>Backend Response Required</t>
        </is>
      </c>
      <c r="K9" s="15" t="n">
        <v>0</v>
      </c>
    </row>
    <row r="10" ht="58" customHeight="1">
      <c r="A10" s="14" t="inlineStr">
        <is>
          <t>A-006</t>
        </is>
      </c>
      <c r="B10" s="14" t="inlineStr">
        <is>
          <t>P1</t>
        </is>
      </c>
      <c r="C10" s="14" t="inlineStr">
        <is>
          <t>Complete pillar → programme → project → action/milestone → evidence/bottleneck relationships.</t>
        </is>
      </c>
      <c r="D10" s="14" t="inlineStr">
        <is>
          <t>Data model</t>
        </is>
      </c>
      <c r="E10" s="14" t="inlineStr">
        <is>
          <t>Every drill-down resolves through stable database relationships.</t>
        </is>
      </c>
      <c r="F10" s="14" t="inlineStr">
        <is>
          <t>Data Lead</t>
        </is>
      </c>
      <c r="G10" s="14" t="inlineStr"/>
      <c r="H10" s="14" t="inlineStr"/>
      <c r="I10" s="14" t="inlineStr"/>
      <c r="J10" s="14" t="inlineStr">
        <is>
          <t>Backend Response Required</t>
        </is>
      </c>
      <c r="K10" s="15" t="n">
        <v>0</v>
      </c>
    </row>
    <row r="11" ht="58" customHeight="1">
      <c r="A11" s="14" t="inlineStr">
        <is>
          <t>A-007</t>
        </is>
      </c>
      <c r="B11" s="14" t="inlineStr">
        <is>
          <t>P1</t>
        </is>
      </c>
      <c r="C11" s="14" t="inlineStr">
        <is>
          <t>Complete institution, user, role and multi-scope assignments.</t>
        </is>
      </c>
      <c r="D11" s="14" t="inlineStr">
        <is>
          <t>Access control</t>
        </is>
      </c>
      <c r="E11" s="14" t="inlineStr">
        <is>
          <t>Users can hold multiple effective scoped assignments.</t>
        </is>
      </c>
      <c r="F11" s="14" t="inlineStr">
        <is>
          <t>Security Lead</t>
        </is>
      </c>
      <c r="G11" s="14" t="inlineStr"/>
      <c r="H11" s="14" t="inlineStr"/>
      <c r="I11" s="14" t="inlineStr"/>
      <c r="J11" s="14" t="inlineStr">
        <is>
          <t>Backend Response Required</t>
        </is>
      </c>
      <c r="K11" s="15" t="n">
        <v>0</v>
      </c>
    </row>
    <row r="12" ht="58" customHeight="1">
      <c r="A12" s="14" t="inlineStr">
        <is>
          <t>A-008</t>
        </is>
      </c>
      <c r="B12" s="14" t="inlineStr">
        <is>
          <t>P1</t>
        </is>
      </c>
      <c r="C12" s="14" t="inlineStr">
        <is>
          <t>Complete dataset, field, controlled reference, template-version, formula and KPI mappings.</t>
        </is>
      </c>
      <c r="D12" s="14" t="inlineStr">
        <is>
          <t>Data framework</t>
        </is>
      </c>
      <c r="E12" s="14" t="inlineStr">
        <is>
          <t>Each KPI has approved, versioned input-field dependencies.</t>
        </is>
      </c>
      <c r="F12" s="14" t="inlineStr">
        <is>
          <t>Data Lead</t>
        </is>
      </c>
      <c r="G12" s="14" t="inlineStr"/>
      <c r="H12" s="14" t="inlineStr"/>
      <c r="I12" s="14" t="inlineStr"/>
      <c r="J12" s="14" t="inlineStr">
        <is>
          <t>Backend Response Required</t>
        </is>
      </c>
      <c r="K12" s="15" t="n">
        <v>0</v>
      </c>
    </row>
    <row r="13" ht="58" customHeight="1">
      <c r="A13" s="14" t="inlineStr">
        <is>
          <t>A-009</t>
        </is>
      </c>
      <c r="B13" s="14" t="inlineStr">
        <is>
          <t>P1</t>
        </is>
      </c>
      <c r="C13" s="14" t="inlineStr">
        <is>
          <t>Implement database-backed parse → validate → calculate → decide → publish workflow.</t>
        </is>
      </c>
      <c r="D13" s="14" t="inlineStr">
        <is>
          <t>Submissions</t>
        </is>
      </c>
      <c r="E13" s="14" t="inlineStr">
        <is>
          <t>End-to-end tests prove approved uploads update KPI history and obligations.</t>
        </is>
      </c>
      <c r="F13" s="14" t="inlineStr">
        <is>
          <t>Backend Lead</t>
        </is>
      </c>
      <c r="G13" s="14" t="inlineStr"/>
      <c r="H13" s="14" t="inlineStr"/>
      <c r="I13" s="14" t="inlineStr"/>
      <c r="J13" s="14" t="inlineStr">
        <is>
          <t>Backend Response Required</t>
        </is>
      </c>
      <c r="K13" s="15" t="n">
        <v>0</v>
      </c>
    </row>
    <row r="14" ht="58" customHeight="1">
      <c r="A14" s="14" t="inlineStr">
        <is>
          <t>A-010</t>
        </is>
      </c>
      <c r="B14" s="14" t="inlineStr">
        <is>
          <t>P1</t>
        </is>
      </c>
      <c r="C14" s="14" t="inlineStr">
        <is>
          <t>Implement immutable observation lineage and cross-module audit events.</t>
        </is>
      </c>
      <c r="D14" s="14" t="inlineStr">
        <is>
          <t>Audit</t>
        </is>
      </c>
      <c r="E14" s="14" t="inlineStr">
        <is>
          <t>Every displayed value/action links to source and actor/time.</t>
        </is>
      </c>
      <c r="F14" s="14" t="inlineStr">
        <is>
          <t>Backend Lead</t>
        </is>
      </c>
      <c r="G14" s="14" t="inlineStr"/>
      <c r="H14" s="14" t="inlineStr"/>
      <c r="I14" s="14" t="inlineStr"/>
      <c r="J14" s="14" t="inlineStr">
        <is>
          <t>Backend Response Required</t>
        </is>
      </c>
      <c r="K14" s="15" t="n">
        <v>0</v>
      </c>
    </row>
    <row r="15" ht="58" customHeight="1">
      <c r="A15" s="14" t="inlineStr">
        <is>
          <t>A-011</t>
        </is>
      </c>
      <c r="B15" s="14" t="inlineStr">
        <is>
          <t>P1</t>
        </is>
      </c>
      <c r="C15" s="14" t="inlineStr">
        <is>
          <t>Rebuild Overview, Pillars and State/DisCo from accepted observations and implementation records.</t>
        </is>
      </c>
      <c r="D15" s="14" t="inlineStr">
        <is>
          <t>Dashboards</t>
        </is>
      </c>
      <c r="E15" s="14" t="inlineStr">
        <is>
          <t>No controller-level metric arrays; filter/empty-slice tests pass.</t>
        </is>
      </c>
      <c r="F15" s="14" t="inlineStr">
        <is>
          <t>API Lead</t>
        </is>
      </c>
      <c r="G15" s="14" t="inlineStr"/>
      <c r="H15" s="14" t="inlineStr"/>
      <c r="I15" s="14" t="inlineStr"/>
      <c r="J15" s="14" t="inlineStr">
        <is>
          <t>Backend Response Required</t>
        </is>
      </c>
      <c r="K15" s="15" t="n">
        <v>0</v>
      </c>
    </row>
    <row r="16" ht="58" customHeight="1">
      <c r="A16" s="14" t="inlineStr">
        <is>
          <t>A-012</t>
        </is>
      </c>
      <c r="B16" s="14" t="inlineStr">
        <is>
          <t>P2</t>
        </is>
      </c>
      <c r="C16" s="14" t="inlineStr">
        <is>
          <t>Implement programme/project/action CRUD with evidence and history.</t>
        </is>
      </c>
      <c r="D16" s="14" t="inlineStr">
        <is>
          <t>Implementation Register</t>
        </is>
      </c>
      <c r="E16" s="14" t="inlineStr">
        <is>
          <t>All frontend operations work with authorization and audit.</t>
        </is>
      </c>
      <c r="F16" s="14" t="inlineStr">
        <is>
          <t>Backend Lead</t>
        </is>
      </c>
      <c r="G16" s="14" t="inlineStr"/>
      <c r="H16" s="14" t="inlineStr"/>
      <c r="I16" s="14" t="inlineStr"/>
      <c r="J16" s="14" t="inlineStr">
        <is>
          <t>Backend Response Required</t>
        </is>
      </c>
      <c r="K16" s="15" t="n">
        <v>0</v>
      </c>
    </row>
    <row r="17" ht="58" customHeight="1">
      <c r="A17" s="14" t="inlineStr">
        <is>
          <t>A-013</t>
        </is>
      </c>
      <c r="B17" s="14" t="inlineStr">
        <is>
          <t>P2</t>
        </is>
      </c>
      <c r="C17" s="14" t="inlineStr">
        <is>
          <t>Implement bottleneck escalation, decision, resolution and follow-up.</t>
        </is>
      </c>
      <c r="D17" s="14" t="inlineStr">
        <is>
          <t>Bottlenecks</t>
        </is>
      </c>
      <c r="E17" s="14" t="inlineStr">
        <is>
          <t>Complete governed lifecycle is demonstrated end-to-end.</t>
        </is>
      </c>
      <c r="F17" s="14" t="inlineStr">
        <is>
          <t>Backend Lead</t>
        </is>
      </c>
      <c r="G17" s="14" t="inlineStr"/>
      <c r="H17" s="14" t="inlineStr"/>
      <c r="I17" s="14" t="inlineStr"/>
      <c r="J17" s="14" t="inlineStr">
        <is>
          <t>Backend Response Required</t>
        </is>
      </c>
      <c r="K17" s="15" t="n">
        <v>0</v>
      </c>
    </row>
    <row r="18" ht="58" customHeight="1">
      <c r="A18" s="14" t="inlineStr">
        <is>
          <t>A-014</t>
        </is>
      </c>
      <c r="B18" s="14" t="inlineStr">
        <is>
          <t>P2</t>
        </is>
      </c>
      <c r="C18" s="14" t="inlineStr">
        <is>
          <t>Complete invitation/reset, suspension/reactivation and access-scope administration.</t>
        </is>
      </c>
      <c r="D18" s="14" t="inlineStr">
        <is>
          <t>Administration</t>
        </is>
      </c>
      <c r="E18" s="14" t="inlineStr">
        <is>
          <t>Invited user can activate; admin can manage lifecycle securely.</t>
        </is>
      </c>
      <c r="F18" s="14" t="inlineStr">
        <is>
          <t>Security Lead</t>
        </is>
      </c>
      <c r="G18" s="14" t="inlineStr"/>
      <c r="H18" s="14" t="inlineStr"/>
      <c r="I18" s="14" t="inlineStr"/>
      <c r="J18" s="14" t="inlineStr">
        <is>
          <t>Backend Response Required</t>
        </is>
      </c>
      <c r="K18" s="15" t="n">
        <v>0</v>
      </c>
    </row>
    <row r="19" ht="58" customHeight="1">
      <c r="A19" s="14" t="inlineStr">
        <is>
          <t>A-015</t>
        </is>
      </c>
      <c r="B19" s="14" t="inlineStr">
        <is>
          <t>P2</t>
        </is>
      </c>
      <c r="C19" s="14" t="inlineStr">
        <is>
          <t>Generate reports from live approved records and support saved custom configurations.</t>
        </is>
      </c>
      <c r="D19" s="14" t="inlineStr">
        <is>
          <t>Reports</t>
        </is>
      </c>
      <c r="E19" s="14" t="inlineStr">
        <is>
          <t>Report values reconcile exactly to dashboard records.</t>
        </is>
      </c>
      <c r="F19" s="14" t="inlineStr">
        <is>
          <t>Reporting Lead</t>
        </is>
      </c>
      <c r="G19" s="14" t="inlineStr"/>
      <c r="H19" s="14" t="inlineStr"/>
      <c r="I19" s="14" t="inlineStr"/>
      <c r="J19" s="14" t="inlineStr">
        <is>
          <t>Backend Response Required</t>
        </is>
      </c>
      <c r="K19" s="15" t="n">
        <v>0</v>
      </c>
    </row>
    <row r="20" ht="58" customHeight="1">
      <c r="A20" s="14" t="inlineStr">
        <is>
          <t>A-016</t>
        </is>
      </c>
      <c r="B20" s="14" t="inlineStr">
        <is>
          <t>P2</t>
        </is>
      </c>
      <c r="C20" s="14" t="inlineStr">
        <is>
          <t>Connect public pages exclusively to the safe public API.</t>
        </is>
      </c>
      <c r="D20" s="14" t="inlineStr">
        <is>
          <t>Public Gateway</t>
        </is>
      </c>
      <c r="E20" s="14" t="inlineStr">
        <is>
          <t>Public views load without authentication and expose only publishable data.</t>
        </is>
      </c>
      <c r="F20" s="14" t="inlineStr">
        <is>
          <t>API Lead</t>
        </is>
      </c>
      <c r="G20" s="14" t="inlineStr"/>
      <c r="H20" s="14" t="inlineStr"/>
      <c r="I20" s="14" t="inlineStr"/>
      <c r="J20" s="14" t="inlineStr">
        <is>
          <t>Backend Response Required</t>
        </is>
      </c>
      <c r="K20" s="15" t="n">
        <v>0</v>
      </c>
    </row>
    <row r="21" ht="58" customHeight="1">
      <c r="A21" s="14" t="inlineStr">
        <is>
          <t>A-017</t>
        </is>
      </c>
      <c r="B21" s="14" t="inlineStr">
        <is>
          <t>P2</t>
        </is>
      </c>
      <c r="C21" s="14" t="inlineStr">
        <is>
          <t>Implement KPI add, edit, deactivate and version workflow.</t>
        </is>
      </c>
      <c r="D21" s="14" t="inlineStr">
        <is>
          <t>KPI Explorer</t>
        </is>
      </c>
      <c r="E21" s="14" t="inlineStr">
        <is>
          <t>Governed KPI lifecycle is available and audited.</t>
        </is>
      </c>
      <c r="F21" s="14" t="inlineStr">
        <is>
          <t>Data Lead</t>
        </is>
      </c>
      <c r="G21" s="14" t="inlineStr"/>
      <c r="H21" s="14" t="inlineStr"/>
      <c r="I21" s="14" t="inlineStr"/>
      <c r="J21" s="14" t="inlineStr">
        <is>
          <t>Backend Response Required</t>
        </is>
      </c>
      <c r="K21" s="15" t="n">
        <v>0</v>
      </c>
    </row>
    <row r="22" ht="58" customHeight="1">
      <c r="A22" s="14" t="inlineStr">
        <is>
          <t>A-018</t>
        </is>
      </c>
      <c r="B22" s="14" t="inlineStr">
        <is>
          <t>P3</t>
        </is>
      </c>
      <c r="C22" s="14" t="inlineStr">
        <is>
          <t>Add unit tests for each approved formula and boundary condition.</t>
        </is>
      </c>
      <c r="D22" s="14" t="inlineStr">
        <is>
          <t>Quality</t>
        </is>
      </c>
      <c r="E22" s="14" t="inlineStr">
        <is>
          <t>Formula test pack passes and reconciles to approved examples.</t>
        </is>
      </c>
      <c r="F22" s="14" t="inlineStr">
        <is>
          <t>QA Lead</t>
        </is>
      </c>
      <c r="G22" s="14" t="inlineStr"/>
      <c r="H22" s="14" t="inlineStr"/>
      <c r="I22" s="14" t="inlineStr"/>
      <c r="J22" s="14" t="inlineStr">
        <is>
          <t>Backend Response Required</t>
        </is>
      </c>
      <c r="K22" s="15" t="n">
        <v>0</v>
      </c>
    </row>
    <row r="23" ht="58" customHeight="1">
      <c r="A23" s="14" t="inlineStr">
        <is>
          <t>A-019</t>
        </is>
      </c>
      <c r="B23" s="14" t="inlineStr">
        <is>
          <t>P3</t>
        </is>
      </c>
      <c r="C23" s="14" t="inlineStr">
        <is>
          <t>Add authorization and scope integration tests.</t>
        </is>
      </c>
      <c r="D23" s="14" t="inlineStr">
        <is>
          <t>Quality</t>
        </is>
      </c>
      <c r="E23" s="14" t="inlineStr">
        <is>
          <t>All allow/deny combinations in the approved matrix pass.</t>
        </is>
      </c>
      <c r="F23" s="14" t="inlineStr">
        <is>
          <t>QA Lead</t>
        </is>
      </c>
      <c r="G23" s="14" t="inlineStr"/>
      <c r="H23" s="14" t="inlineStr"/>
      <c r="I23" s="14" t="inlineStr"/>
      <c r="J23" s="14" t="inlineStr">
        <is>
          <t>Backend Response Required</t>
        </is>
      </c>
      <c r="K23" s="15" t="n">
        <v>0</v>
      </c>
    </row>
    <row r="24" ht="58" customHeight="1">
      <c r="A24" s="14" t="inlineStr">
        <is>
          <t>A-020</t>
        </is>
      </c>
      <c r="B24" s="14" t="inlineStr">
        <is>
          <t>P3</t>
        </is>
      </c>
      <c r="C24" s="14" t="inlineStr">
        <is>
          <t>Add response contract tests generated from frontend schemas.</t>
        </is>
      </c>
      <c r="D24" s="14" t="inlineStr">
        <is>
          <t>Quality</t>
        </is>
      </c>
      <c r="E24" s="14" t="inlineStr">
        <is>
          <t>No runtime schema mismatch across all endpoints.</t>
        </is>
      </c>
      <c r="F24" s="14" t="inlineStr">
        <is>
          <t>QA Lead</t>
        </is>
      </c>
      <c r="G24" s="14" t="inlineStr"/>
      <c r="H24" s="14" t="inlineStr"/>
      <c r="I24" s="14" t="inlineStr"/>
      <c r="J24" s="14" t="inlineStr">
        <is>
          <t>Backend Response Required</t>
        </is>
      </c>
      <c r="K24" s="15" t="n">
        <v>0</v>
      </c>
    </row>
    <row r="25" ht="58" customHeight="1">
      <c r="A25" s="14" t="inlineStr">
        <is>
          <t>A-021</t>
        </is>
      </c>
      <c r="B25" s="14" t="inlineStr">
        <is>
          <t>P3</t>
        </is>
      </c>
      <c r="C25" s="14" t="inlineStr">
        <is>
          <t>Add submission-to-dashboard/report end-to-end tests.</t>
        </is>
      </c>
      <c r="D25" s="14" t="inlineStr">
        <is>
          <t>Quality</t>
        </is>
      </c>
      <c r="E25" s="14" t="inlineStr">
        <is>
          <t>One accepted submission updates every dependent view consistently.</t>
        </is>
      </c>
      <c r="F25" s="14" t="inlineStr">
        <is>
          <t>QA Lead</t>
        </is>
      </c>
      <c r="G25" s="14" t="inlineStr"/>
      <c r="H25" s="14" t="inlineStr"/>
      <c r="I25" s="14" t="inlineStr"/>
      <c r="J25" s="14" t="inlineStr">
        <is>
          <t>Backend Response Required</t>
        </is>
      </c>
      <c r="K25" s="15" t="n">
        <v>0</v>
      </c>
    </row>
    <row r="26" ht="58" customHeight="1">
      <c r="A26" s="14" t="inlineStr">
        <is>
          <t>A-022</t>
        </is>
      </c>
      <c r="B26" s="14" t="inlineStr">
        <is>
          <t>P3</t>
        </is>
      </c>
      <c r="C26" s="14" t="inlineStr">
        <is>
          <t>Add filter correctness and non-matching empty-slice tests.</t>
        </is>
      </c>
      <c r="D26" s="14" t="inlineStr">
        <is>
          <t>Quality</t>
        </is>
      </c>
      <c r="E26" s="14" t="inlineStr">
        <is>
          <t>Every supplied filter changes the server data slice correctly.</t>
        </is>
      </c>
      <c r="F26" s="14" t="inlineStr">
        <is>
          <t>QA Lead</t>
        </is>
      </c>
      <c r="G26" s="14" t="inlineStr"/>
      <c r="H26" s="14" t="inlineStr"/>
      <c r="I26" s="14" t="inlineStr"/>
      <c r="J26" s="14" t="inlineStr">
        <is>
          <t>Backend Response Required</t>
        </is>
      </c>
      <c r="K26" s="15" t="n">
        <v>0</v>
      </c>
    </row>
    <row r="27" ht="58" customHeight="1">
      <c r="A27" s="14" t="inlineStr">
        <is>
          <t>A-023</t>
        </is>
      </c>
      <c r="B27" s="14" t="inlineStr">
        <is>
          <t>P3</t>
        </is>
      </c>
      <c r="C27" s="14" t="inlineStr">
        <is>
          <t>Reconcile dashboard values against approved workbooks/publications.</t>
        </is>
      </c>
      <c r="D27" s="14" t="inlineStr">
        <is>
          <t>Data quality</t>
        </is>
      </c>
      <c r="E27" s="14" t="inlineStr">
        <is>
          <t>Signed reconciliation report has no unexplained variance.</t>
        </is>
      </c>
      <c r="F27" s="14" t="inlineStr">
        <is>
          <t>Data Lead</t>
        </is>
      </c>
      <c r="G27" s="14" t="inlineStr"/>
      <c r="H27" s="14" t="inlineStr"/>
      <c r="I27" s="14" t="inlineStr"/>
      <c r="J27" s="14" t="inlineStr">
        <is>
          <t>Backend Response Required</t>
        </is>
      </c>
      <c r="K27" s="15" t="n">
        <v>0</v>
      </c>
    </row>
    <row r="28" ht="58" customHeight="1">
      <c r="A28" s="14" t="inlineStr">
        <is>
          <t>A-024</t>
        </is>
      </c>
      <c r="B28" s="14" t="inlineStr">
        <is>
          <t>P3</t>
        </is>
      </c>
      <c r="C28" s="14" t="inlineStr">
        <is>
          <t>Complete UAT with CDMU, SEforALL and designated custodians.</t>
        </is>
      </c>
      <c r="D28" s="14" t="inlineStr">
        <is>
          <t>Acceptance</t>
        </is>
      </c>
      <c r="E28" s="14" t="inlineStr">
        <is>
          <t>Formal UAT sign-off and defect closure are recorded.</t>
        </is>
      </c>
      <c r="F28" s="14" t="inlineStr">
        <is>
          <t>Product Owner</t>
        </is>
      </c>
      <c r="G28" s="14" t="inlineStr"/>
      <c r="H28" s="14" t="inlineStr"/>
      <c r="I28" s="14" t="inlineStr"/>
      <c r="J28" s="14" t="inlineStr">
        <is>
          <t>Backend Response Required</t>
        </is>
      </c>
      <c r="K28" s="15" t="n">
        <v>0</v>
      </c>
    </row>
  </sheetData>
  <mergeCells count="2">
    <mergeCell ref="A2:K2"/>
    <mergeCell ref="A1:K1"/>
  </mergeCells>
  <conditionalFormatting sqref="K5:K28">
    <cfRule type="expression" priority="1" dxfId="3">
      <formula>$K5=1</formula>
    </cfRule>
  </conditionalFormatting>
  <dataValidations count="2">
    <dataValidation sqref="J5:J28" showDropDown="0" showInputMessage="0" showErrorMessage="0" allowBlank="1" errorTitle="Invalid status" error="Select a status from the dropdown." type="list">
      <formula1>"Backend Response Required,Open,In Progress,Resolved,Accepted Risk"</formula1>
    </dataValidation>
    <dataValidation sqref="B5:B28" showDropDown="0" showInputMessage="0" showErrorMessage="0" allowBlank="1" type="list">
      <formula1>"P0,P1,P2,P3"</formula1>
    </dataValidation>
  </dataValidations>
  <pageMargins left="0.25" right="0.25" top="0.4" bottom="0.4" header="0.5" footer="0.5"/>
  <pageSetup orientation="landscape" fitToHeight="0" fitToWidth="1"/>
  <headerFooter>
    <oddHeader>&amp;CM300 Monitoring Platform — Backend Logic Audit</oddHeader>
    <oddFooter>&amp;LPrepared 25 August 2026&amp;RPage &amp;P of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H18"/>
  <sheetViews>
    <sheetView showGridLines="0" zoomScale="85" workbookViewId="0">
      <pane ySplit="4" topLeftCell="A5" activePane="bottomLeft" state="frozen"/>
      <selection pane="bottomLeft" activeCell="A1" sqref="A1"/>
    </sheetView>
  </sheetViews>
  <sheetFormatPr baseColWidth="8" defaultRowHeight="15"/>
  <cols>
    <col width="8" customWidth="1" min="1" max="1"/>
    <col width="82" customWidth="1" min="2" max="2"/>
    <col width="28" customWidth="1" min="3" max="3"/>
    <col width="55" customWidth="1" min="4" max="4"/>
    <col width="42" customWidth="1" min="5" max="5"/>
    <col width="20" customWidth="1" min="6" max="6"/>
    <col width="14" customWidth="1" min="7" max="7"/>
    <col width="24" customWidth="1" min="8" max="8"/>
  </cols>
  <sheetData>
    <row r="1" ht="34" customHeight="1">
      <c r="A1" s="1" t="inlineStr">
        <is>
          <t>Questions Requiring Written Backend Response</t>
        </is>
      </c>
    </row>
    <row r="2" ht="28" customHeight="1">
      <c r="A2" s="2" t="inlineStr">
        <is>
          <t>Responses should include links to code, database mappings, API documentation, tests or environment evidence—not only verbal confirmation.</t>
        </is>
      </c>
    </row>
    <row r="4">
      <c r="A4" s="6" t="inlineStr">
        <is>
          <t>No.</t>
        </is>
      </c>
      <c r="B4" s="6" t="inlineStr">
        <is>
          <t>Question</t>
        </is>
      </c>
      <c r="C4" s="6" t="inlineStr">
        <is>
          <t>Topic</t>
        </is>
      </c>
      <c r="D4" s="6" t="inlineStr">
        <is>
          <t>Backend Response</t>
        </is>
      </c>
      <c r="E4" s="6" t="inlineStr">
        <is>
          <t>Evidence / Link</t>
        </is>
      </c>
      <c r="F4" s="6" t="inlineStr">
        <is>
          <t>Owner</t>
        </is>
      </c>
      <c r="G4" s="6" t="inlineStr">
        <is>
          <t>Response Due</t>
        </is>
      </c>
      <c r="H4" s="6" t="inlineStr">
        <is>
          <t>Status</t>
        </is>
      </c>
    </row>
    <row r="5" ht="64" customHeight="1">
      <c r="A5" s="14" t="n">
        <v>1</v>
      </c>
      <c r="B5" s="14" t="inlineStr">
        <is>
          <t>Is https://nigeria.geappindia.org the authoritative Nigeria production API and database, or is there another environment containing the real data?</t>
        </is>
      </c>
      <c r="C5" s="14" t="inlineStr">
        <is>
          <t>Environment &amp; data ownership</t>
        </is>
      </c>
      <c r="D5" s="14" t="inlineStr"/>
      <c r="E5" s="14" t="inlineStr"/>
      <c r="F5" s="14" t="inlineStr"/>
      <c r="G5" s="14" t="inlineStr"/>
      <c r="H5" s="14" t="inlineStr">
        <is>
          <t>Backend Response Required</t>
        </is>
      </c>
    </row>
    <row r="6" ht="64" customHeight="1">
      <c r="A6" s="14" t="n">
        <v>2</v>
      </c>
      <c r="B6" s="14" t="inlineStr">
        <is>
          <t>Which modules are declared production-ready, and which are acknowledged mock or representative implementations?</t>
        </is>
      </c>
      <c r="C6" s="14" t="inlineStr">
        <is>
          <t>Implementation status</t>
        </is>
      </c>
      <c r="D6" s="14" t="inlineStr"/>
      <c r="E6" s="14" t="inlineStr"/>
      <c r="F6" s="14" t="inlineStr"/>
      <c r="G6" s="14" t="inlineStr"/>
      <c r="H6" s="14" t="inlineStr">
        <is>
          <t>Backend Response Required</t>
        </is>
      </c>
    </row>
    <row r="7" ht="64" customHeight="1">
      <c r="A7" s="14" t="n">
        <v>3</v>
      </c>
      <c r="B7" s="14" t="inlineStr">
        <is>
          <t>For every displayed KPI, which database observation, accepted submission, source reference and formula produced the value?</t>
        </is>
      </c>
      <c r="C7" s="14" t="inlineStr">
        <is>
          <t>KPI lineage</t>
        </is>
      </c>
      <c r="D7" s="14" t="inlineStr"/>
      <c r="E7" s="14" t="inlineStr"/>
      <c r="F7" s="14" t="inlineStr"/>
      <c r="G7" s="14" t="inlineStr"/>
      <c r="H7" s="14" t="inlineStr">
        <is>
          <t>Backend Response Required</t>
        </is>
      </c>
    </row>
    <row r="8" ht="64" customHeight="1">
      <c r="A8" s="14" t="n">
        <v>4</v>
      </c>
      <c r="B8" s="14" t="inlineStr">
        <is>
          <t>Where is the approved formula-to-dataset-field mapping requested in the initial setup workbook?</t>
        </is>
      </c>
      <c r="C8" s="14" t="inlineStr">
        <is>
          <t>Calculation governance</t>
        </is>
      </c>
      <c r="D8" s="14" t="inlineStr"/>
      <c r="E8" s="14" t="inlineStr"/>
      <c r="F8" s="14" t="inlineStr"/>
      <c r="G8" s="14" t="inlineStr"/>
      <c r="H8" s="14" t="inlineStr">
        <is>
          <t>Backend Response Required</t>
        </is>
      </c>
    </row>
    <row r="9" ht="64" customHeight="1">
      <c r="A9" s="14" t="n">
        <v>5</v>
      </c>
      <c r="B9" s="14" t="inlineStr">
        <is>
          <t>How are validation decisions published transactionally to KPI observations and obligations?</t>
        </is>
      </c>
      <c r="C9" s="14" t="inlineStr">
        <is>
          <t>Submission workflow</t>
        </is>
      </c>
      <c r="D9" s="14" t="inlineStr"/>
      <c r="E9" s="14" t="inlineStr"/>
      <c r="F9" s="14" t="inlineStr"/>
      <c r="G9" s="14" t="inlineStr"/>
      <c r="H9" s="14" t="inlineStr">
        <is>
          <t>Backend Response Required</t>
        </is>
      </c>
    </row>
    <row r="10" ht="64" customHeight="1">
      <c r="A10" s="14" t="n">
        <v>6</v>
      </c>
      <c r="B10" s="14" t="inlineStr">
        <is>
          <t>How are programme, project, action, milestone and bottleneck relationships represented and maintained?</t>
        </is>
      </c>
      <c r="C10" s="14" t="inlineStr">
        <is>
          <t>Implementation data model</t>
        </is>
      </c>
      <c r="D10" s="14" t="inlineStr"/>
      <c r="E10" s="14" t="inlineStr"/>
      <c r="F10" s="14" t="inlineStr"/>
      <c r="G10" s="14" t="inlineStr"/>
      <c r="H10" s="14" t="inlineStr">
        <is>
          <t>Backend Response Required</t>
        </is>
      </c>
    </row>
    <row r="11" ht="64" customHeight="1">
      <c r="A11" s="14" t="n">
        <v>7</v>
      </c>
      <c r="B11" s="14" t="inlineStr">
        <is>
          <t>What server-side permission and record-scope rule protects each endpoint?</t>
        </is>
      </c>
      <c r="C11" s="14" t="inlineStr">
        <is>
          <t>Authorization</t>
        </is>
      </c>
      <c r="D11" s="14" t="inlineStr"/>
      <c r="E11" s="14" t="inlineStr"/>
      <c r="F11" s="14" t="inlineStr"/>
      <c r="G11" s="14" t="inlineStr"/>
      <c r="H11" s="14" t="inlineStr">
        <is>
          <t>Backend Response Required</t>
        </is>
      </c>
    </row>
    <row r="12" ht="64" customHeight="1">
      <c r="A12" s="14" t="n">
        <v>8</v>
      </c>
      <c r="B12" s="14" t="inlineStr">
        <is>
          <t>Why can a provider account access Administration data and unrelated obligations?</t>
        </is>
      </c>
      <c r="C12" s="14" t="inlineStr">
        <is>
          <t>Security finding</t>
        </is>
      </c>
      <c r="D12" s="14" t="inlineStr"/>
      <c r="E12" s="14" t="inlineStr"/>
      <c r="F12" s="14" t="inlineStr"/>
      <c r="G12" s="14" t="inlineStr"/>
      <c r="H12" s="14" t="inlineStr">
        <is>
          <t>Backend Response Required</t>
        </is>
      </c>
    </row>
    <row r="13" ht="64" customHeight="1">
      <c r="A13" s="14" t="n">
        <v>9</v>
      </c>
      <c r="B13" s="14" t="inlineStr">
        <is>
          <t>Which status vocabularies and transition diagrams have been approved?</t>
        </is>
      </c>
      <c r="C13" s="14" t="inlineStr">
        <is>
          <t>Workflow governance</t>
        </is>
      </c>
      <c r="D13" s="14" t="inlineStr"/>
      <c r="E13" s="14" t="inlineStr"/>
      <c r="F13" s="14" t="inlineStr"/>
      <c r="G13" s="14" t="inlineStr"/>
      <c r="H13" s="14" t="inlineStr">
        <is>
          <t>Backend Response Required</t>
        </is>
      </c>
    </row>
    <row r="14" ht="64" customHeight="1">
      <c r="A14" s="14" t="n">
        <v>10</v>
      </c>
      <c r="B14" s="14" t="inlineStr">
        <is>
          <t>Which audit events are written for login, upload, edit, validation, approval, export and administration?</t>
        </is>
      </c>
      <c r="C14" s="14" t="inlineStr">
        <is>
          <t>Audit</t>
        </is>
      </c>
      <c r="D14" s="14" t="inlineStr"/>
      <c r="E14" s="14" t="inlineStr"/>
      <c r="F14" s="14" t="inlineStr"/>
      <c r="G14" s="14" t="inlineStr"/>
      <c r="H14" s="14" t="inlineStr">
        <is>
          <t>Backend Response Required</t>
        </is>
      </c>
    </row>
    <row r="15" ht="64" customHeight="1">
      <c r="A15" s="14" t="n">
        <v>11</v>
      </c>
      <c r="B15" s="14" t="inlineStr">
        <is>
          <t>How are reports generated from live approved records, and where are generated files and version histories stored?</t>
        </is>
      </c>
      <c r="C15" s="14" t="inlineStr">
        <is>
          <t>Reporting</t>
        </is>
      </c>
      <c r="D15" s="14" t="inlineStr"/>
      <c r="E15" s="14" t="inlineStr"/>
      <c r="F15" s="14" t="inlineStr"/>
      <c r="G15" s="14" t="inlineStr"/>
      <c r="H15" s="14" t="inlineStr">
        <is>
          <t>Backend Response Required</t>
        </is>
      </c>
    </row>
    <row r="16" ht="64" customHeight="1">
      <c r="A16" s="14" t="n">
        <v>12</v>
      </c>
      <c r="B16" s="14" t="inlineStr">
        <is>
          <t>How will the public gateway receive approved public data without authentication?</t>
        </is>
      </c>
      <c r="C16" s="14" t="inlineStr">
        <is>
          <t>Public publication</t>
        </is>
      </c>
      <c r="D16" s="14" t="inlineStr"/>
      <c r="E16" s="14" t="inlineStr"/>
      <c r="F16" s="14" t="inlineStr"/>
      <c r="G16" s="14" t="inlineStr"/>
      <c r="H16" s="14" t="inlineStr">
        <is>
          <t>Backend Response Required</t>
        </is>
      </c>
    </row>
    <row r="17" ht="64" customHeight="1">
      <c r="A17" s="14" t="n">
        <v>13</v>
      </c>
      <c r="B17" s="14" t="inlineStr">
        <is>
          <t>What is the migration plan from fixed arrays, MockDb and temporary-store responses to database-backed logic?</t>
        </is>
      </c>
      <c r="C17" s="14" t="inlineStr">
        <is>
          <t>Remediation</t>
        </is>
      </c>
      <c r="D17" s="14" t="inlineStr"/>
      <c r="E17" s="14" t="inlineStr"/>
      <c r="F17" s="14" t="inlineStr"/>
      <c r="G17" s="14" t="inlineStr"/>
      <c r="H17" s="14" t="inlineStr">
        <is>
          <t>Backend Response Required</t>
        </is>
      </c>
    </row>
    <row r="18" ht="64" customHeight="1">
      <c r="A18" s="14" t="n">
        <v>14</v>
      </c>
      <c r="B18" s="14" t="inlineStr">
        <is>
          <t>Which acceptance tests demonstrate calculation accuracy, filter behavior, authorization and end-to-end publication?</t>
        </is>
      </c>
      <c r="C18" s="14" t="inlineStr">
        <is>
          <t>Quality assurance</t>
        </is>
      </c>
      <c r="D18" s="14" t="inlineStr"/>
      <c r="E18" s="14" t="inlineStr"/>
      <c r="F18" s="14" t="inlineStr"/>
      <c r="G18" s="14" t="inlineStr"/>
      <c r="H18" s="14" t="inlineStr">
        <is>
          <t>Backend Response Required</t>
        </is>
      </c>
    </row>
  </sheetData>
  <mergeCells count="2">
    <mergeCell ref="A2:H2"/>
    <mergeCell ref="A1:H1"/>
  </mergeCells>
  <dataValidations count="1">
    <dataValidation sqref="H5:H18" showDropDown="0" showInputMessage="0" showErrorMessage="0" allowBlank="1" errorTitle="Invalid status" error="Select a status from the dropdown." type="list">
      <formula1>"Backend Response Required,Open,In Progress,Resolved,Accepted Risk"</formula1>
    </dataValidation>
  </dataValidations>
  <pageMargins left="0.25" right="0.25" top="0.4" bottom="0.4" header="0.5" footer="0.5"/>
  <pageSetup orientation="landscape" fitToHeight="0" fitToWidth="1"/>
  <headerFooter>
    <oddHeader>&amp;CM300 Monitoring Platform — Backend Logic Audit</oddHeader>
    <oddFooter>&amp;LPrepared 25 August 2026&amp;RPage &amp;P of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I14"/>
  <sheetViews>
    <sheetView showGridLines="0" zoomScale="85" workbookViewId="0">
      <pane ySplit="4" topLeftCell="A5" activePane="bottomLeft" state="frozen"/>
      <selection pane="bottomLeft" activeCell="A1" sqref="A1"/>
    </sheetView>
  </sheetViews>
  <sheetFormatPr baseColWidth="8" defaultRowHeight="15"/>
  <cols>
    <col width="10" customWidth="1" min="1" max="1"/>
    <col width="24" customWidth="1" min="2" max="2"/>
    <col width="52" customWidth="1" min="3" max="3"/>
    <col width="48" customWidth="1" min="4" max="4"/>
    <col width="20" customWidth="1" min="5" max="5"/>
    <col width="45" customWidth="1" min="6" max="6"/>
    <col width="20" customWidth="1" min="7" max="7"/>
    <col width="14" customWidth="1" min="8" max="8"/>
    <col width="18" customWidth="1" min="9" max="9"/>
  </cols>
  <sheetData>
    <row r="1" ht="34" customHeight="1">
      <c r="A1" s="1" t="inlineStr">
        <is>
          <t>Go-Live Acceptance Criteria</t>
        </is>
      </c>
    </row>
    <row r="2" ht="28" customHeight="1">
      <c r="A2" s="2" t="inlineStr">
        <is>
          <t>A module should not be called live-data-ready until all applicable gates pass without frontend mocks.</t>
        </is>
      </c>
    </row>
    <row r="4">
      <c r="A4" s="6" t="inlineStr">
        <is>
          <t>Gate ID</t>
        </is>
      </c>
      <c r="B4" s="6" t="inlineStr">
        <is>
          <t>Area</t>
        </is>
      </c>
      <c r="C4" s="6" t="inlineStr">
        <is>
          <t>Required Condition</t>
        </is>
      </c>
      <c r="D4" s="6" t="inlineStr">
        <is>
          <t>Verification Method</t>
        </is>
      </c>
      <c r="E4" s="6" t="inlineStr">
        <is>
          <t>Current Audit Result</t>
        </is>
      </c>
      <c r="F4" s="6" t="inlineStr">
        <is>
          <t>Backend Evidence</t>
        </is>
      </c>
      <c r="G4" s="6" t="inlineStr">
        <is>
          <t>QA Owner</t>
        </is>
      </c>
      <c r="H4" s="6" t="inlineStr">
        <is>
          <t>Retest Date</t>
        </is>
      </c>
      <c r="I4" s="6" t="inlineStr">
        <is>
          <t>Final Status</t>
        </is>
      </c>
    </row>
    <row r="5" ht="64" customHeight="1">
      <c r="A5" s="14" t="inlineStr">
        <is>
          <t>G-001</t>
        </is>
      </c>
      <c r="B5" s="14" t="inlineStr">
        <is>
          <t>Authoritative source</t>
        </is>
      </c>
      <c r="C5" s="14" t="inlineStr">
        <is>
          <t>Displayed records originate from an identified and approved source.</t>
        </is>
      </c>
      <c r="D5" s="14" t="inlineStr">
        <is>
          <t>Provide source-to-record trace for sampled values.</t>
        </is>
      </c>
      <c r="E5" s="14" t="inlineStr">
        <is>
          <t>Not Tested</t>
        </is>
      </c>
      <c r="F5" s="14" t="inlineStr"/>
      <c r="G5" s="14" t="inlineStr"/>
      <c r="H5" s="14" t="inlineStr"/>
      <c r="I5" s="14" t="inlineStr">
        <is>
          <t>Open</t>
        </is>
      </c>
    </row>
    <row r="6" ht="64" customHeight="1">
      <c r="A6" s="14" t="inlineStr">
        <is>
          <t>G-002</t>
        </is>
      </c>
      <c r="B6" s="14" t="inlineStr">
        <is>
          <t>Formula accuracy</t>
        </is>
      </c>
      <c r="C6" s="14" t="inlineStr">
        <is>
          <t>Formulae and field mappings are approved, versioned and tested.</t>
        </is>
      </c>
      <c r="D6" s="14" t="inlineStr">
        <is>
          <t>Reconcile test cases to approved workbook examples.</t>
        </is>
      </c>
      <c r="E6" s="14" t="inlineStr">
        <is>
          <t>Not Tested</t>
        </is>
      </c>
      <c r="F6" s="14" t="inlineStr"/>
      <c r="G6" s="14" t="inlineStr"/>
      <c r="H6" s="14" t="inlineStr"/>
      <c r="I6" s="14" t="inlineStr">
        <is>
          <t>Open</t>
        </is>
      </c>
    </row>
    <row r="7" ht="64" customHeight="1">
      <c r="A7" s="14" t="inlineStr">
        <is>
          <t>G-003</t>
        </is>
      </c>
      <c r="B7" s="14" t="inlineStr">
        <is>
          <t>Metric metadata</t>
        </is>
      </c>
      <c r="C7" s="14" t="inlineStr">
        <is>
          <t>Every value has period, unit, target basis, validation state and provenance.</t>
        </is>
      </c>
      <c r="D7" s="14" t="inlineStr">
        <is>
          <t>Contract/data-quality scan has zero omissions.</t>
        </is>
      </c>
      <c r="E7" s="14" t="inlineStr">
        <is>
          <t>Not Tested</t>
        </is>
      </c>
      <c r="F7" s="14" t="inlineStr"/>
      <c r="G7" s="14" t="inlineStr"/>
      <c r="H7" s="14" t="inlineStr"/>
      <c r="I7" s="14" t="inlineStr">
        <is>
          <t>Open</t>
        </is>
      </c>
    </row>
    <row r="8" ht="64" customHeight="1">
      <c r="A8" s="14" t="inlineStr">
        <is>
          <t>G-004</t>
        </is>
      </c>
      <c r="B8" s="14" t="inlineStr">
        <is>
          <t>Filter behavior</t>
        </is>
      </c>
      <c r="C8" s="14" t="inlineStr">
        <is>
          <t>Every filter changes the server-side slice and no-match queries return empty sections.</t>
        </is>
      </c>
      <c r="D8" s="14" t="inlineStr">
        <is>
          <t>Automated positive and empty-slice tests pass.</t>
        </is>
      </c>
      <c r="E8" s="14" t="inlineStr">
        <is>
          <t>Not Tested</t>
        </is>
      </c>
      <c r="F8" s="14" t="inlineStr"/>
      <c r="G8" s="14" t="inlineStr"/>
      <c r="H8" s="14" t="inlineStr"/>
      <c r="I8" s="14" t="inlineStr">
        <is>
          <t>Open</t>
        </is>
      </c>
    </row>
    <row r="9" ht="64" customHeight="1">
      <c r="A9" s="14" t="inlineStr">
        <is>
          <t>G-005</t>
        </is>
      </c>
      <c r="B9" s="14" t="inlineStr">
        <is>
          <t>Workflow completion</t>
        </is>
      </c>
      <c r="C9" s="14" t="inlineStr">
        <is>
          <t>Authorized users can complete the intended workflow from start to finish.</t>
        </is>
      </c>
      <c r="D9" s="14" t="inlineStr">
        <is>
          <t>End-to-end workflow tests pass.</t>
        </is>
      </c>
      <c r="E9" s="14" t="inlineStr">
        <is>
          <t>Not Tested</t>
        </is>
      </c>
      <c r="F9" s="14" t="inlineStr"/>
      <c r="G9" s="14" t="inlineStr"/>
      <c r="H9" s="14" t="inlineStr"/>
      <c r="I9" s="14" t="inlineStr">
        <is>
          <t>Open</t>
        </is>
      </c>
    </row>
    <row r="10" ht="64" customHeight="1">
      <c r="A10" s="14" t="inlineStr">
        <is>
          <t>G-006</t>
        </is>
      </c>
      <c r="B10" s="14" t="inlineStr">
        <is>
          <t>Access control</t>
        </is>
      </c>
      <c r="C10" s="14" t="inlineStr">
        <is>
          <t>Unauthorized and out-of-scope users are rejected by the API.</t>
        </is>
      </c>
      <c r="D10" s="14" t="inlineStr">
        <is>
          <t>Role/scope matrix tests pass with 403 or scoped results.</t>
        </is>
      </c>
      <c r="E10" s="14" t="inlineStr">
        <is>
          <t>Failed</t>
        </is>
      </c>
      <c r="F10" s="14" t="inlineStr"/>
      <c r="G10" s="14" t="inlineStr"/>
      <c r="H10" s="14" t="inlineStr"/>
      <c r="I10" s="14" t="inlineStr">
        <is>
          <t>Open</t>
        </is>
      </c>
    </row>
    <row r="11" ht="64" customHeight="1">
      <c r="A11" s="14" t="inlineStr">
        <is>
          <t>G-007</t>
        </is>
      </c>
      <c r="B11" s="14" t="inlineStr">
        <is>
          <t>State consistency</t>
        </is>
      </c>
      <c r="C11" s="14" t="inlineStr">
        <is>
          <t>Every transition persists and appears consistently across modules.</t>
        </is>
      </c>
      <c r="D11" s="14" t="inlineStr">
        <is>
          <t>Cross-page reconciliation after each transition passes.</t>
        </is>
      </c>
      <c r="E11" s="14" t="inlineStr">
        <is>
          <t>Not Tested</t>
        </is>
      </c>
      <c r="F11" s="14" t="inlineStr"/>
      <c r="G11" s="14" t="inlineStr"/>
      <c r="H11" s="14" t="inlineStr"/>
      <c r="I11" s="14" t="inlineStr">
        <is>
          <t>Open</t>
        </is>
      </c>
    </row>
    <row r="12" ht="64" customHeight="1">
      <c r="A12" s="14" t="inlineStr">
        <is>
          <t>G-008</t>
        </is>
      </c>
      <c r="B12" s="14" t="inlineStr">
        <is>
          <t>Auditability</t>
        </is>
      </c>
      <c r="C12" s="14" t="inlineStr">
        <is>
          <t>Important actions create immutable, queryable audit events.</t>
        </is>
      </c>
      <c r="D12" s="14" t="inlineStr">
        <is>
          <t>Sample login/upload/edit/decision/export/admin events exist.</t>
        </is>
      </c>
      <c r="E12" s="14" t="inlineStr">
        <is>
          <t>Failed</t>
        </is>
      </c>
      <c r="F12" s="14" t="inlineStr"/>
      <c r="G12" s="14" t="inlineStr"/>
      <c r="H12" s="14" t="inlineStr"/>
      <c r="I12" s="14" t="inlineStr">
        <is>
          <t>Open</t>
        </is>
      </c>
    </row>
    <row r="13" ht="64" customHeight="1">
      <c r="A13" s="14" t="inlineStr">
        <is>
          <t>G-009</t>
        </is>
      </c>
      <c r="B13" s="14" t="inlineStr">
        <is>
          <t>Report reconciliation</t>
        </is>
      </c>
      <c r="C13" s="14" t="inlineStr">
        <is>
          <t>Reports use and reconcile to the same approved records shown in the dashboard.</t>
        </is>
      </c>
      <c r="D13" s="14" t="inlineStr">
        <is>
          <t>Sample report matches source views and versions exactly.</t>
        </is>
      </c>
      <c r="E13" s="14" t="inlineStr">
        <is>
          <t>Failed</t>
        </is>
      </c>
      <c r="F13" s="14" t="inlineStr"/>
      <c r="G13" s="14" t="inlineStr"/>
      <c r="H13" s="14" t="inlineStr"/>
      <c r="I13" s="14" t="inlineStr">
        <is>
          <t>Open</t>
        </is>
      </c>
    </row>
    <row r="14" ht="64" customHeight="1">
      <c r="A14" s="14" t="inlineStr">
        <is>
          <t>G-010</t>
        </is>
      </c>
      <c r="B14" s="14" t="inlineStr">
        <is>
          <t>No mock dependency</t>
        </is>
      </c>
      <c r="C14" s="14" t="inlineStr">
        <is>
          <t>Production paths operate without frontend mocks, MockDb or fixed controller responses.</t>
        </is>
      </c>
      <c r="D14" s="14" t="inlineStr">
        <is>
          <t>Backend-mode end-to-end test passes with mock systems disabled.</t>
        </is>
      </c>
      <c r="E14" s="14" t="inlineStr">
        <is>
          <t>Failed</t>
        </is>
      </c>
      <c r="F14" s="14" t="inlineStr"/>
      <c r="G14" s="14" t="inlineStr"/>
      <c r="H14" s="14" t="inlineStr"/>
      <c r="I14" s="14" t="inlineStr">
        <is>
          <t>Open</t>
        </is>
      </c>
    </row>
  </sheetData>
  <mergeCells count="2">
    <mergeCell ref="A1:I1"/>
    <mergeCell ref="A2:I2"/>
  </mergeCells>
  <conditionalFormatting sqref="E5:E14">
    <cfRule type="expression" priority="1" dxfId="0">
      <formula>$E5="Failed"</formula>
    </cfRule>
  </conditionalFormatting>
  <conditionalFormatting sqref="I5:I14">
    <cfRule type="expression" priority="2" dxfId="3">
      <formula>$I5="Passed"</formula>
    </cfRule>
  </conditionalFormatting>
  <dataValidations count="1">
    <dataValidation sqref="I5:I14" showDropDown="0" showInputMessage="0" showErrorMessage="0" allowBlank="1" type="list">
      <formula1>"Open,Passed,Failed,Not Applicable"</formula1>
    </dataValidation>
  </dataValidations>
  <pageMargins left="0.25" right="0.25" top="0.4" bottom="0.4" header="0.5" footer="0.5"/>
  <pageSetup orientation="landscape" fitToHeight="0" fitToWidth="1"/>
  <headerFooter>
    <oddHeader>&amp;CM300 Monitoring Platform — Backend Logic Audit</oddHeader>
    <oddFooter>&amp;LPrepared 25 August 2026&amp;RPage &amp;P of &amp;N</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E20"/>
  <sheetViews>
    <sheetView showGridLines="0" zoomScale="85" workbookViewId="0">
      <pane ySplit="4" topLeftCell="A5" activePane="bottomLeft" state="frozen"/>
      <selection pane="bottomLeft" activeCell="A1" sqref="A1"/>
    </sheetView>
  </sheetViews>
  <sheetFormatPr baseColWidth="8" defaultRowHeight="15"/>
  <cols>
    <col width="11" customWidth="1" min="1" max="1"/>
    <col width="30" customWidth="1" min="2" max="2"/>
    <col width="72" customWidth="1" min="3" max="3"/>
    <col width="70" customWidth="1" min="4" max="4"/>
    <col width="42" customWidth="1" min="5" max="5"/>
  </cols>
  <sheetData>
    <row r="1" ht="34" customHeight="1">
      <c r="A1" s="1" t="inlineStr">
        <is>
          <t>Evidence Sources</t>
        </is>
      </c>
    </row>
    <row r="2" ht="28" customHeight="1">
      <c r="A2" s="2" t="inlineStr">
        <is>
          <t>Project documents and codebases reviewed for this audit. Paths are relative to the frontend workspace unless noted.</t>
        </is>
      </c>
    </row>
    <row r="4">
      <c r="A4" s="6" t="inlineStr">
        <is>
          <t>Source ID</t>
        </is>
      </c>
      <c r="B4" s="6" t="inlineStr">
        <is>
          <t>Type</t>
        </is>
      </c>
      <c r="C4" s="6" t="inlineStr">
        <is>
          <t>File / Location</t>
        </is>
      </c>
      <c r="D4" s="6" t="inlineStr">
        <is>
          <t>Audit Use</t>
        </is>
      </c>
      <c r="E4" s="6" t="inlineStr">
        <is>
          <t>Backend Comment</t>
        </is>
      </c>
    </row>
    <row r="5" ht="54" customHeight="1">
      <c r="A5" s="14" t="inlineStr">
        <is>
          <t>S-001</t>
        </is>
      </c>
      <c r="B5" s="14" t="inlineStr">
        <is>
          <t>Approved reporting workbook</t>
        </is>
      </c>
      <c r="C5" s="14" t="inlineStr">
        <is>
          <t>public/GEAPP Reporting.xlsx</t>
        </is>
      </c>
      <c r="D5" s="14" t="inlineStr">
        <is>
          <t>Action/target statuses, comments, update dates, source rules and Nigeria reference values.</t>
        </is>
      </c>
      <c r="E5" s="14" t="inlineStr"/>
    </row>
    <row r="6" ht="54" customHeight="1">
      <c r="A6" s="14" t="inlineStr">
        <is>
          <t>S-002</t>
        </is>
      </c>
      <c r="B6" s="14" t="inlineStr">
        <is>
          <t>Backend setup questions</t>
        </is>
      </c>
      <c r="C6" s="14" t="inlineStr">
        <is>
          <t>public/M 300 Initial Setup Questions.xlsx</t>
        </is>
      </c>
      <c r="D6" s="14" t="inlineStr">
        <is>
          <t>Hierarchy, roles, feature permissions, dataset mappings, formula requirements and activity APIs.</t>
        </is>
      </c>
      <c r="E6" s="14" t="inlineStr"/>
    </row>
    <row r="7" ht="54" customHeight="1">
      <c r="A7" s="14" t="inlineStr">
        <is>
          <t>S-003</t>
        </is>
      </c>
      <c r="B7" s="14" t="inlineStr">
        <is>
          <t>CDMU framework slides</t>
        </is>
      </c>
      <c r="C7" s="14" t="inlineStr">
        <is>
          <t>public/Snapshot of CDMU Convening Slides.pptx.pdf</t>
        </is>
      </c>
      <c r="D7" s="14" t="inlineStr">
        <is>
          <t>Monitoring, reporting and learning; coordination, bottlenecks, evidence and delivery outcomes.</t>
        </is>
      </c>
      <c r="E7" s="14" t="inlineStr"/>
    </row>
    <row r="8" ht="54" customHeight="1">
      <c r="A8" s="14" t="inlineStr">
        <is>
          <t>S-004</t>
        </is>
      </c>
      <c r="B8" s="14" t="inlineStr">
        <is>
          <t>Inception report</t>
        </is>
      </c>
      <c r="C8" s="14" t="inlineStr">
        <is>
          <t>docs/EMRC - Inception Report for the Design and Implementation of the M300 Monitoring Dashboard for Nigeria v0-1 2026-02-16.docx</t>
        </is>
      </c>
      <c r="D8" s="14" t="inlineStr">
        <is>
          <t>Monitoring architecture, governance, validation, reporting, traceability and access requirements.</t>
        </is>
      </c>
      <c r="E8" s="14" t="inlineStr"/>
    </row>
    <row r="9" ht="54" customHeight="1">
      <c r="A9" s="14" t="inlineStr">
        <is>
          <t>S-005</t>
        </is>
      </c>
      <c r="B9" s="14" t="inlineStr">
        <is>
          <t>KPI matrix</t>
        </is>
      </c>
      <c r="C9" s="14" t="inlineStr">
        <is>
          <t>docs/EMRC - M300 KPI Matrix v2-0 2026-06-29.xlsx</t>
        </is>
      </c>
      <c r="D9" s="14" t="inlineStr">
        <is>
          <t>Definitions, sources, baselines, targets, validation/confidence states and known gaps.</t>
        </is>
      </c>
      <c r="E9" s="14" t="inlineStr"/>
    </row>
    <row r="10" ht="54" customHeight="1">
      <c r="A10" s="14" t="inlineStr">
        <is>
          <t>S-006</t>
        </is>
      </c>
      <c r="B10" s="14" t="inlineStr">
        <is>
          <t>Platform feedback</t>
        </is>
      </c>
      <c r="C10" s="14" t="inlineStr">
        <is>
          <t>docs/M300 Monitoring Platform Feedback.pptx</t>
        </is>
      </c>
      <c r="D10" s="14" t="inlineStr">
        <is>
          <t>Dynamic KPI data, filters/sorts, drill-down tables, linked records, preview, custom reports and KPI lifecycle.</t>
        </is>
      </c>
      <c r="E10" s="14" t="inlineStr"/>
    </row>
    <row r="11" ht="54" customHeight="1">
      <c r="A11" s="14" t="inlineStr">
        <is>
          <t>S-007</t>
        </is>
      </c>
      <c r="B11" s="14" t="inlineStr">
        <is>
          <t>Page specifications</t>
        </is>
      </c>
      <c r="C11" s="14" t="inlineStr">
        <is>
          <t>docs/source/EMRC - M300 Dashboard Page Specifications v0-3 2026-07-17.xlsx</t>
        </is>
      </c>
      <c r="D11" s="14" t="inlineStr">
        <is>
          <t>Expected elements, formulas, targets, filters, methodologies and sources for all modules.</t>
        </is>
      </c>
      <c r="E11" s="14" t="inlineStr"/>
    </row>
    <row r="12" ht="54" customHeight="1">
      <c r="A12" s="14" t="inlineStr">
        <is>
          <t>S-008</t>
        </is>
      </c>
      <c r="B12" s="14" t="inlineStr">
        <is>
          <t>Wireframe</t>
        </is>
      </c>
      <c r="C12" s="14" t="inlineStr">
        <is>
          <t>docs/source/EMRC - M300 Dashboard Configuration Wireframe v0-1 2026-06-10.pdf</t>
        </is>
      </c>
      <c r="D12" s="14" t="inlineStr">
        <is>
          <t>Configuration and dashboard behavior reference.</t>
        </is>
      </c>
      <c r="E12" s="14" t="inlineStr"/>
    </row>
    <row r="13" ht="54" customHeight="1">
      <c r="A13" s="14" t="inlineStr">
        <is>
          <t>S-009</t>
        </is>
      </c>
      <c r="B13" s="14" t="inlineStr">
        <is>
          <t>Frontend API contract</t>
        </is>
      </c>
      <c r="C13" s="14" t="inlineStr">
        <is>
          <t>docs/API.md</t>
        </is>
      </c>
      <c r="D13" s="14" t="inlineStr">
        <is>
          <t>Runtime response schemas, routes, filter behavior and workflow contracts.</t>
        </is>
      </c>
      <c r="E13" s="14" t="inlineStr"/>
    </row>
    <row r="14" ht="54" customHeight="1">
      <c r="A14" s="14" t="inlineStr">
        <is>
          <t>S-010</t>
        </is>
      </c>
      <c r="B14" s="14" t="inlineStr">
        <is>
          <t>Module specifications</t>
        </is>
      </c>
      <c r="C14" s="14" t="inlineStr">
        <is>
          <t>docs/specs/</t>
        </is>
      </c>
      <c r="D14" s="14" t="inlineStr">
        <is>
          <t>Detailed expected behavior for every dashboard module.</t>
        </is>
      </c>
      <c r="E14" s="14" t="inlineStr"/>
    </row>
    <row r="15" ht="54" customHeight="1">
      <c r="A15" s="14" t="inlineStr">
        <is>
          <t>S-011</t>
        </is>
      </c>
      <c r="B15" s="14" t="inlineStr">
        <is>
          <t>Frontend source</t>
        </is>
      </c>
      <c r="C15" s="14" t="inlineStr">
        <is>
          <t>src/</t>
        </is>
      </c>
      <c r="D15" s="14" t="inlineStr">
        <is>
          <t>Actual routes, API calls, schemas, pages and backend-mode behavior.</t>
        </is>
      </c>
      <c r="E15" s="14" t="inlineStr"/>
    </row>
    <row r="16" ht="54" customHeight="1">
      <c r="A16" s="14" t="inlineStr">
        <is>
          <t>S-012</t>
        </is>
      </c>
      <c r="B16" s="14" t="inlineStr">
        <is>
          <t>PHP route table</t>
        </is>
      </c>
      <c r="C16" s="14" t="inlineStr">
        <is>
          <t>mission300-monitoring-backend-NG/api/routes.php</t>
        </is>
      </c>
      <c r="D16" s="14" t="inlineStr">
        <is>
          <t>Implemented deployed-backend route inventory.</t>
        </is>
      </c>
      <c r="E16" s="14" t="inlineStr"/>
    </row>
    <row r="17" ht="54" customHeight="1">
      <c r="A17" s="14" t="inlineStr">
        <is>
          <t>S-013</t>
        </is>
      </c>
      <c r="B17" s="14" t="inlineStr">
        <is>
          <t>PHP controllers</t>
        </is>
      </c>
      <c r="C17" s="14" t="inlineStr">
        <is>
          <t>mission300-monitoring-backend-NG/api/src/App/Controllers/</t>
        </is>
      </c>
      <c r="D17" s="14" t="inlineStr">
        <is>
          <t>Actual calculations, filters, mock arrays, persistence and authorization calls.</t>
        </is>
      </c>
      <c r="E17" s="14" t="inlineStr"/>
    </row>
    <row r="18" ht="54" customHeight="1">
      <c r="A18" s="14" t="inlineStr">
        <is>
          <t>S-014</t>
        </is>
      </c>
      <c r="B18" s="14" t="inlineStr">
        <is>
          <t>PHP database schema</t>
        </is>
      </c>
      <c r="C18" s="14" t="inlineStr">
        <is>
          <t>mission300-monitoring-backend-NG/api/nigeria_m300_mysql.sql</t>
        </is>
      </c>
      <c r="D18" s="14" t="inlineStr">
        <is>
          <t>Defined entities compared with controller usage.</t>
        </is>
      </c>
      <c r="E18" s="14" t="inlineStr"/>
    </row>
    <row r="19" ht="54" customHeight="1">
      <c r="A19" s="14" t="inlineStr">
        <is>
          <t>S-015</t>
        </is>
      </c>
      <c r="B19" s="14" t="inlineStr">
        <is>
          <t>Demo backend contract</t>
        </is>
      </c>
      <c r="C19" s="14" t="inlineStr">
        <is>
          <t>../m300-demo-backend/docs/BACKEND-CONTRACT.md</t>
        </is>
      </c>
      <c r="D19" s="14" t="inlineStr">
        <is>
          <t>Reference parse/validate/calculate/review/publish/audit design and stated scope limitations.</t>
        </is>
      </c>
      <c r="E19" s="14" t="inlineStr"/>
    </row>
    <row r="20" ht="54" customHeight="1">
      <c r="A20" s="14" t="inlineStr">
        <is>
          <t>S-016</t>
        </is>
      </c>
      <c r="B20" s="14" t="inlineStr">
        <is>
          <t>Demo backend tests/source</t>
        </is>
      </c>
      <c r="C20" s="14" t="inlineStr">
        <is>
          <t>../m300-demo-backend/src and test/</t>
        </is>
      </c>
      <c r="D20" s="14" t="inlineStr">
        <is>
          <t>Two-dataset calculation pipeline and end-to-end verification.</t>
        </is>
      </c>
      <c r="E20" s="14" t="inlineStr"/>
    </row>
  </sheetData>
  <mergeCells count="2">
    <mergeCell ref="A2:E2"/>
    <mergeCell ref="A1:E1"/>
  </mergeCells>
  <pageMargins left="0.25" right="0.25" top="0.4" bottom="0.4" header="0.5" footer="0.5"/>
  <pageSetup orientation="landscape" fitToHeight="0" fitToWidth="1"/>
  <headerFooter>
    <oddHeader>&amp;CM300 Monitoring Platform — Backend Logic Audit</oddHeader>
    <oddFooter>&amp;LPrepared 25 August 2026&amp;RPage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EMRC dashboard audit</dc:creator>
  <dc:title xmlns:dc="http://purl.org/dc/elements/1.1/">M300 Full Dashboard Backend Logic Audit</dc:title>
  <dc:description xmlns:dc="http://purl.org/dc/elements/1.1/">Full-dashboard audit converted into a backend response and remediation tracker.</dc:description>
  <dc:subject xmlns:dc="http://purl.org/dc/elements/1.1/">Backend implementation, logic, security and acceptance findings</dc:subject>
  <dcterms:created xmlns:dcterms="http://purl.org/dc/terms/" xmlns:xsi="http://www.w3.org/2001/XMLSchema-instance" xsi:type="dcterms:W3CDTF">2026-08-25T10:14:41Z</dcterms:created>
  <dcterms:modified xmlns:dcterms="http://purl.org/dc/terms/" xmlns:xsi="http://www.w3.org/2001/XMLSchema-instance" xsi:type="dcterms:W3CDTF">2026-08-25T10:14:41Z</dcterms:modified>
</cp:coreProperties>
</file>